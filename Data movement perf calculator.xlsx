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officeDocument/2006/relationships">
  <ns0:workbookPr/>
  <ns0:bookViews>
    <ns0:workbookView activeTab="6"/>
  </ns0:bookViews>
  <ns0:sheets>
    <ns0:sheet state="visible" name="Sheet1" sheetId="1" ns1:id="rId5"/>
    <ns0:sheet name="WH measurements" sheetId="2" ns1:id="rIdNoc2"/>
    <ns0:sheet name="BH validation" sheetId="3" ns1:id="rIdNoc3"/>
    <ns0:sheet name="BH routes" sheetId="4" ns1:id="rIdNoc4"/>
    <ns0:sheet name="L1 copy algorithm" sheetId="5" ns1:id="rIdNoc5"/>
    <ns0:sheet name="DRAM contention" sheetId="6" ns1:id="rIdNoc6"/>
    <ns0:sheet name="BH queue model" sheetId="7" ns1:id="rIdNoc7"/>
    <ns0:sheet name="Archive low-core" sheetId="8" ns1:id="rIdNoc8" state="hidden"/>
  </ns0:sheets>
  <ns0:definedNames/>
  <ns0:calcPr calcMode="auto" fullCalcOnLoad="1"/>
</ns0: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tc={63a3cdf9-46cf-4999-b089-bb2cb5edfd2b}</author>
  </authors>
  <commentList>
    <comment authorId="0" xr:uid="{63a3cdf9-46cf-4999-b089-bb2cb5edfd2b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 NoC
</t>
      </text>
    </comment>
  </commentList>
</comments>
</file>

<file path=xl/sharedStrings.xml><?xml version="1.0" encoding="utf-8"?>
<sst xmlns="http://schemas.openxmlformats.org/spreadsheetml/2006/main" count="22" uniqueCount="20">
  <si>
    <t>AI CLK</t>
  </si>
  <si>
    <t>1.35 GHz</t>
  </si>
  <si>
    <t>Cycle suration</t>
  </si>
  <si>
    <t>0.7407 ns</t>
  </si>
  <si>
    <t>NoC link bandwidth</t>
  </si>
  <si>
    <t>64B/cycle</t>
  </si>
  <si>
    <t xml:space="preserve">NoC link badwidth at 1.35 GHz </t>
  </si>
  <si>
    <t>86.4 GB/s</t>
  </si>
  <si>
    <t xml:space="preserve">DRAM bandwidth </t>
  </si>
  <si>
    <t>512GB/s</t>
  </si>
  <si>
    <t>DRAM banks</t>
  </si>
  <si>
    <t>Tensix cores</t>
  </si>
  <si>
    <t xml:space="preserve">Alignement requiremenets </t>
  </si>
  <si>
    <t>Memory target</t>
  </si>
  <si>
    <t>Read</t>
  </si>
  <si>
    <t>Write</t>
  </si>
  <si>
    <t>DRAM</t>
  </si>
  <si>
    <t>64B</t>
  </si>
  <si>
    <t>16B</t>
  </si>
  <si>
    <t>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</si>
</sst>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Noc2" Type="http://schemas.openxmlformats.org/officeDocument/2006/relationships/worksheet" Target="worksheets/sheet2.xml"/><Relationship Id="rIdNoc3" Type="http://schemas.openxmlformats.org/officeDocument/2006/relationships/worksheet" Target="worksheets/sheet3.xml"/><Relationship Id="rIdNoc4" Type="http://schemas.openxmlformats.org/officeDocument/2006/relationships/worksheet" Target="worksheets/sheet4.xml"/><Relationship Id="rIdNoc5" Type="http://schemas.openxmlformats.org/officeDocument/2006/relationships/worksheet" Target="worksheets/sheet5.xml"/><Relationship Id="rIdNoc6" Type="http://schemas.openxmlformats.org/officeDocument/2006/relationships/worksheet" Target="worksheets/sheet6.xml"/><Relationship Id="rIdNoc7" Type="http://schemas.openxmlformats.org/officeDocument/2006/relationships/worksheet" Target="worksheets/sheet7.xml"/><Relationship Id="rIdNoc8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ragica Stoiljković" id="{4c2df193-385d-45ee-8bd3-bd8e8fcf052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10-07T12:59:55.00" personId="{4c2df193-385d-45ee-8bd3-bd8e8fcf052d}" id="{63a3cdf9-46cf-4999-b089-bb2cb5edfd2b}" done="0">
    <x18tc:text xml:space="preserve">Per NoC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"/>
    <col customWidth="1" min="2" max="2" width="22"/>
    <col customWidth="1" min="3" max="3" width="90"/>
    <col customWidth="1" min="4" max="4" width="2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>
        <v>8.0</v>
      </c>
    </row>
    <row r="7">
      <c r="A7" s="1" t="s">
        <v>11</v>
      </c>
      <c r="B7" s="1">
        <v>120.0</v>
      </c>
    </row>
    <row r="10">
      <c r="A10" s="1" t="s">
        <v>12</v>
      </c>
    </row>
    <row r="11">
      <c r="A11" s="1" t="s">
        <v>13</v>
      </c>
      <c r="B11" s="1" t="s">
        <v>14</v>
      </c>
      <c r="C11" s="1" t="s">
        <v>15</v>
      </c>
    </row>
    <row r="12">
      <c r="A12" s="1" t="s">
        <v>16</v>
      </c>
      <c r="B12" s="1" t="s">
        <v>17</v>
      </c>
      <c r="C12" s="1" t="s">
        <v>18</v>
      </c>
    </row>
    <row r="13">
      <c r="A13" s="1" t="s">
        <v>19</v>
      </c>
      <c r="B13" s="1" t="s">
        <v>18</v>
      </c>
      <c r="C13" s="1" t="s">
        <v>18</v>
      </c>
    </row>
    <row r="16">
      <c r="A16" t="inlineStr">
        <is>
          <t>BH completed unicast transfer estimate</t>
        </is>
      </c>
    </row>
    <row r="17">
      <c r="A17" s="1" t="inlineStr">
        <is>
          <t>Payload (bytes)</t>
        </is>
      </c>
      <c r="B17" s="1">
        <v>65536</v>
      </c>
      <c r="C17" s="1" t="inlineStr">
        <is>
          <t>Editable: total bytes moved</t>
        </is>
      </c>
    </row>
    <row r="18">
      <c r="A18" t="inlineStr">
        <is>
          <t>Clock (MHz)</t>
        </is>
      </c>
      <c r="B18">
        <v>1350</v>
      </c>
      <c r="C18" t="inlineStr">
        <is>
          <t>Queried BH p150b clock; units MHz</t>
        </is>
      </c>
    </row>
    <row r="19">
      <c r="A19" t="inlineStr">
        <is>
          <t>Router-link latency (cycles)</t>
        </is>
      </c>
      <c r="B19">
        <v>9</v>
      </c>
      <c r="C19" t="inlineStr">
        <is>
          <t>BH ISA: 9 cycles per inter-router link, not 9 ns</t>
        </is>
      </c>
    </row>
    <row r="20">
      <c r="A20" s="1" t="inlineStr">
        <is>
          <t>Transfer profile ID</t>
        </is>
      </c>
      <c r="B20" s="1">
        <v>2</v>
      </c>
      <c r="C20" s="1" t="inlineStr">
        <is>
          <t>Editable: choose ID 1-8 from the table below</t>
        </is>
      </c>
    </row>
    <row r="21">
      <c r="A21" s="1" t="inlineStr">
        <is>
          <t>NoC bandwidth (GB/s)</t>
        </is>
      </c>
      <c r="B21" s="1">
        <f>INDEX(B36:B43,B20)</f>
        <v>82.072</v>
      </c>
      <c r="C21" s="1" t="inlineStr">
        <is>
          <t>Measured at 64 KiB; not theoretical link bandwidth</t>
        </is>
      </c>
    </row>
    <row r="22">
      <c r="A22" t="inlineStr">
        <is>
          <t>Round-trip router links</t>
        </is>
      </c>
      <c r="B22">
        <v>29</v>
      </c>
      <c r="C22" t="inlineStr">
        <is>
          <t>Editable: total request + response/ACK links. Local 0; near 17; far 29 on verified NoC0 routes.</t>
        </is>
      </c>
    </row>
    <row r="24">
      <c r="A24" t="inlineStr">
        <is>
          <t>NIU crossing time (us)</t>
        </is>
      </c>
      <c r="B24">
        <f>B45*B46/B18</f>
        <v>0.014814814814814815</v>
      </c>
    </row>
    <row r="25">
      <c r="A25" s="1" t="inlineStr">
        <is>
          <t>Bandwidth time (us)</t>
        </is>
      </c>
      <c r="B25">
        <f>B17/(B21*1000)</f>
        <v>0.798518374110537</v>
      </c>
    </row>
    <row r="26">
      <c r="A26" t="inlineStr">
        <is>
          <t>Router-link time (us)</t>
        </is>
      </c>
      <c r="B26">
        <f>B22*B19/B18</f>
        <v>0.19333333333333333</v>
      </c>
    </row>
    <row r="27">
      <c r="A27" s="1" t="inlineStr">
        <is>
          <t>Estimated NoC latency (us)</t>
        </is>
      </c>
      <c r="B27">
        <f>B25+B26+B24+B47/1000</f>
        <v>1.0393901289188885</v>
      </c>
    </row>
    <row r="29">
      <c r="A29" t="inlineStr">
        <is>
          <t>Formula</t>
        </is>
      </c>
      <c r="B29" t="inlineStr">
        <is>
          <t>time_us = bytes/(GBps*1000) + (round_trip_links*router_cycles + NIU_crossings*NIU_cycles)/clock_MHz + residual_ns/1000</t>
        </is>
      </c>
    </row>
    <row r="30">
      <c r="A30" s="1" t="inlineStr">
        <is>
          <t>Calibration note</t>
        </is>
      </c>
      <c r="B30" s="1" t="inlineStr">
        <is>
          <t>64 KiB measured bandwidth is an effective rate; this is a heuristic estimate for other payload sizes.</t>
        </is>
      </c>
    </row>
    <row r="31">
      <c r="A31" s="1" t="inlineStr">
        <is>
          <t>Latency note</t>
        </is>
      </c>
      <c r="B31" t="inlineStr">
        <is>
          <t>Completed unicast reads/nonposted writes only. Multicast profiles below are reference data; this endpoint model does not model multicast ACK fan-in.</t>
        </is>
      </c>
    </row>
    <row r="32">
      <c r="A32" s="1" t="inlineStr">
        <is>
          <t>Source</t>
        </is>
      </c>
      <c r="B32" s="1" t="inlineStr">
        <is>
          <t>Dispatch BW.xlsx / NOC BWs / BH NOC P150; values copied, no external workbook links.</t>
        </is>
      </c>
    </row>
    <row r="33">
      <c r="A33" s="1" t="inlineStr">
        <is>
          <t>Model source</t>
        </is>
      </c>
      <c r="B33" t="inlineStr">
        <is>
          <t>https://github.com/tenstorrent/tt-isa-documentation/blob/main/BlackholeA0/NoC/README.md#performance</t>
        </is>
      </c>
    </row>
    <row r="35">
      <c r="A35" s="1" t="inlineStr">
        <is>
          <t>Profile ID / transfer</t>
        </is>
      </c>
      <c r="B35" s="1" t="inlineStr">
        <is>
          <t>BW (GB/s)</t>
        </is>
      </c>
      <c r="C35" s="1" t="inlineStr">
        <is>
          <t>Dispatch source cells</t>
        </is>
      </c>
      <c r="D35" s="1" t="inlineStr">
        <is>
          <t>Measured latency (us)</t>
        </is>
      </c>
    </row>
    <row r="36">
      <c r="A36" s="1" t="inlineStr">
        <is>
          <t>1: READ NEAR L1</t>
        </is>
      </c>
      <c r="B36" s="1">
        <v>82.37</v>
      </c>
      <c r="C36" s="1" t="inlineStr">
        <is>
          <t>'NOC BWs'!G67 (BW), G68 (latency)</t>
        </is>
      </c>
      <c r="D36" s="1">
        <v>0.16088477</v>
      </c>
    </row>
    <row r="37">
      <c r="A37" s="1" t="inlineStr">
        <is>
          <t>2: READ FAR L1</t>
        </is>
      </c>
      <c r="B37" s="1">
        <v>82.072</v>
      </c>
      <c r="C37" s="1" t="inlineStr">
        <is>
          <t>'NOC BWs'!H67 (BW), H68 (latency)</t>
        </is>
      </c>
      <c r="D37" s="1">
        <v>0.24384375</v>
      </c>
    </row>
    <row r="38">
      <c r="A38" s="1" t="inlineStr">
        <is>
          <t>3: READ LOCAL L1</t>
        </is>
      </c>
      <c r="B38" s="1">
        <v>79.858</v>
      </c>
      <c r="C38" s="1" t="inlineStr">
        <is>
          <t>'NOC BWs'!I67 (BW), I68 (latency)</t>
        </is>
      </c>
      <c r="D38" s="1">
        <v>0.048296876</v>
      </c>
    </row>
    <row r="39">
      <c r="A39" s="1" t="inlineStr">
        <is>
          <t>4: WRITE FAR L1</t>
        </is>
      </c>
      <c r="B39" s="1">
        <v>83.375</v>
      </c>
      <c r="C39" s="1" t="inlineStr">
        <is>
          <t>'NOC BWs'!J67 (BW), J68 (latency)</t>
        </is>
      </c>
      <c r="D39" s="1">
        <v>0.24089453</v>
      </c>
    </row>
    <row r="40">
      <c r="A40" s="1" t="inlineStr">
        <is>
          <t>5: MCAST NEAR L1</t>
        </is>
      </c>
      <c r="B40" s="1">
        <v>77.933</v>
      </c>
      <c r="C40" s="1" t="inlineStr">
        <is>
          <t>'NOC BWs'!K67 (BW), K68 (latency)</t>
        </is>
      </c>
      <c r="D40" s="1">
        <v>0.17565039</v>
      </c>
    </row>
    <row r="41">
      <c r="A41" s="1" t="inlineStr">
        <is>
          <t>6: MCAST FAR L1</t>
        </is>
      </c>
      <c r="B41" s="1">
        <v>49.668</v>
      </c>
      <c r="C41" s="1" t="inlineStr">
        <is>
          <t>'NOC BWs'!L67 (BW), L68 (latency)</t>
        </is>
      </c>
      <c r="D41" s="1">
        <v>0.35941797</v>
      </c>
    </row>
    <row r="42">
      <c r="A42" s="1" t="inlineStr">
        <is>
          <t>7: MCAST MANY L1</t>
        </is>
      </c>
      <c r="B42" s="1">
        <v>34.506</v>
      </c>
      <c r="C42" s="1" t="inlineStr">
        <is>
          <t>'NOC BWs'!M67 (BW), M68 (latency)</t>
        </is>
      </c>
      <c r="D42" s="1">
        <v>0.5609316</v>
      </c>
    </row>
    <row r="43">
      <c r="A43" s="1" t="inlineStr">
        <is>
          <t>8: MCAST MANY L1 LINKED</t>
        </is>
      </c>
      <c r="B43" s="1">
        <v>57.677</v>
      </c>
      <c r="C43" s="1" t="inlineStr">
        <is>
          <t>'NOC BWs'!N67 (BW), N68 (latency)</t>
        </is>
      </c>
      <c r="D43" s="1">
        <v>0.64235353</v>
      </c>
    </row>
    <row r="45">
      <c r="A45" t="inlineStr">
        <is>
          <t>NIU crossings per transaction</t>
        </is>
      </c>
      <c r="B45">
        <v>4</v>
      </c>
      <c r="C45" t="inlineStr">
        <is>
          <t>2 packets x (source NIU-to-router + destination router-to-NIU)</t>
        </is>
      </c>
    </row>
    <row r="46">
      <c r="A46" t="inlineStr">
        <is>
          <t>Cycles per NIU crossing</t>
        </is>
      </c>
      <c r="B46">
        <v>5</v>
      </c>
      <c r="C46" t="inlineStr">
        <is>
          <t>Approximate documented value; not a measured decomposition</t>
        </is>
      </c>
    </row>
    <row r="47">
      <c r="A47" t="inlineStr">
        <is>
          <t>Residual overhead (ns)</t>
        </is>
      </c>
      <c r="B47">
        <f>B49-B48/B50-B45*B46/(B18/1000)</f>
        <v>32.723606660203345</v>
      </c>
      <c r="C47" t="inlineStr">
        <is>
          <t>Calibrated combined overhead minus explicit NIU latency; assumes shared overhead across these reads/writes.</t>
        </is>
      </c>
    </row>
    <row r="48">
      <c r="A48" t="inlineStr">
        <is>
          <t>Calibration payload (bytes)</t>
        </is>
      </c>
      <c r="B48">
        <v>64</v>
      </c>
    </row>
    <row r="49">
      <c r="A49" t="inlineStr">
        <is>
          <t>Calibration latency (ns)</t>
        </is>
      </c>
      <c r="B49">
        <f>'BH validation'!E10*1000</f>
        <v>48.339844</v>
      </c>
    </row>
    <row r="50">
      <c r="A50" t="inlineStr">
        <is>
          <t>Calibration BW (GB/s)</t>
        </is>
      </c>
      <c r="B50">
        <f>B38</f>
        <v>79.858</v>
      </c>
    </row>
    <row r="51">
      <c r="A51" t="inlineStr">
        <is>
          <t>Calibration note</t>
        </is>
      </c>
      <c r="B51" t="inlineStr">
        <is>
          <t>Local 64 B measurement sets the overhead. That row is calibration, not independent validation. Residual includes software/L1/barrier and unmodeled endpoint effects.</t>
        </is>
      </c>
    </row>
    <row r="52">
      <c r="A52" t="inlineStr">
        <is>
          <t>Scope</t>
        </is>
      </c>
      <c r="B52" t="inlineStr">
        <is>
          <t>Serialized completed transfers; do not multiply full fixed latency by every request in a pipelined algorithm.</t>
        </is>
      </c>
    </row>
    <row r="53">
      <c r="A53" t="inlineStr">
        <is>
          <t>Routes</t>
        </is>
      </c>
      <c r="B53" t="inlineStr">
        <is>
          <t>See BH routes: physical torus 17 x 12; use physical coordinates, NoC direction and return path.</t>
        </is>
      </c>
    </row>
    <row r="54">
      <c r="A54" t="inlineStr">
        <is>
          <t>No double counting</t>
        </is>
      </c>
      <c r="B54" t="inlineStr">
        <is>
          <t>Explicit NIU term plus residual equals the previous calibrated fixed overhead; estimates remain numerically equivalent.</t>
        </is>
      </c>
    </row>
  </sheetData>
  <drawing r:id="rId4"/>
  <legacyDrawing r:id="rId5"/>
</worksheet>
</file>

<file path=xl/worksheets/sheet2.xml><?xml version="1.0" encoding="utf-8"?>
<worksheet xmlns="http://schemas.openxmlformats.org/spreadsheetml/2006/main">
  <sheetViews>
    <sheetView workbookViewId="0">
      <pane ySplit="9" topLeftCell="A10" activePane="bottomLeft" state="frozen"/>
    </sheetView>
  </sheetViews>
  <sheetFormatPr defaultRowHeight="18"/>
  <cols>
    <col min="1" max="1" width="26" customWidth="1"/>
    <col min="2" max="10" width="21" customWidth="1"/>
  </cols>
  <sheetData>
    <row r="1">
      <c r="A1" t="inlineStr">
        <is>
          <t>WH measurements — 2026-10-20</t>
        </is>
      </c>
    </row>
    <row r="2">
      <c r="A2" t="inlineStr">
        <is>
          <t>Hardware</t>
        </is>
      </c>
      <c r="B2" t="inlineStr">
        <is>
          <t>wormhole_b0; queried worker grid 8 x 8; physical NoC topology 10 x 12</t>
        </is>
      </c>
    </row>
    <row r="3">
      <c r="A3" t="inlineStr">
        <is>
          <t>Original model</t>
        </is>
      </c>
      <c r="B3" t="inlineStr">
        <is>
          <t>10 x 12 grid, 9 ns/hop; 99 ns hop term. Retained here to reproduce the original comparison.</t>
        </is>
      </c>
    </row>
    <row r="4">
      <c r="A4" t="inlineStr">
        <is>
          <t>Alternative</t>
        </is>
      </c>
      <c r="B4" t="inlineStr">
        <is>
          <t>8 x 8 worker-grid predictions are shown separately; neither is an actual route-distance model.</t>
        </is>
      </c>
    </row>
    <row r="5">
      <c r="A5" t="inlineStr">
        <is>
          <t>Measurement</t>
        </is>
      </c>
      <c r="B5" t="inlineStr">
        <is>
          <t>Median of 3 runs; 32768 serialized transfers/run, barrier per transfer; one warm-up workload.</t>
        </is>
      </c>
    </row>
    <row r="6">
      <c r="A6" t="inlineStr">
        <is>
          <t>Timing scope</t>
        </is>
      </c>
      <c r="B6" t="inlineStr">
        <is>
          <t>Host launch + Finish timing amortized over transfers. Timing-only benchmark; no payload correctness validation.</t>
        </is>
      </c>
    </row>
    <row r="7">
      <c r="A7" t="inlineStr">
        <is>
          <t>Bandwidth source</t>
        </is>
      </c>
      <c r="B7" t="inlineStr">
        <is>
          <t>Dispatch BW.xlsx / NOC BWs / WH NOC / 65536-byte row; copied values, no external links.</t>
        </is>
      </c>
    </row>
    <row r="8">
      <c r="A8" t="inlineStr">
        <is>
          <t>Logical endpoints</t>
        </is>
      </c>
      <c r="B8" t="inlineStr">
        <is>
          <t>Initiator (1,0); local (1,0), near (0,0), far (7,7).</t>
        </is>
      </c>
    </row>
    <row r="9">
      <c r="A9" t="inlineStr">
        <is>
          <t>Transfer</t>
        </is>
      </c>
      <c r="B9" t="inlineStr">
        <is>
          <t>Bytes</t>
        </is>
      </c>
      <c r="C9" t="inlineStr">
        <is>
          <t>BW (GB/s)</t>
        </is>
      </c>
      <c r="D9" t="inlineStr">
        <is>
          <t>Est 10x12 (us)</t>
        </is>
      </c>
      <c r="E9" t="inlineStr">
        <is>
          <t>Measured (us)</t>
        </is>
      </c>
      <c r="F9" t="inlineStr">
        <is>
          <t>Error (%)</t>
        </is>
      </c>
      <c r="G9" t="inlineStr">
        <is>
          <t>Est 8x8 (us)</t>
        </is>
      </c>
      <c r="H9" t="inlineStr">
        <is>
          <t>Error 8x8 (%)</t>
        </is>
      </c>
      <c r="I9" t="inlineStr">
        <is>
          <t>Min (us)</t>
        </is>
      </c>
      <c r="J9" t="inlineStr">
        <is>
          <t>Max (us)</t>
        </is>
      </c>
    </row>
    <row r="10">
      <c r="A10" t="inlineStr">
        <is>
          <t>read_local</t>
        </is>
      </c>
      <c r="B10">
        <v>64</v>
      </c>
      <c r="C10">
        <v>27.84</v>
      </c>
      <c r="D10">
        <f>B10/(C10*1000)+(10+12)/2*9/1000</f>
        <v>0.10129885057471265</v>
      </c>
      <c r="E10">
        <v>0.07235718</v>
      </c>
      <c r="F10">
        <f>(D10/E10-1)*100</f>
        <v>39.998339590780986</v>
      </c>
      <c r="G10">
        <f>B10/(C10*1000)+(8+8)/2*9/1000</f>
        <v>0.07429885057471265</v>
      </c>
      <c r="H10">
        <f>(G10/E10-1)*100</f>
        <v>2.683452526359731</v>
      </c>
      <c r="I10">
        <v>0.06478882</v>
      </c>
      <c r="J10">
        <v>0.07342529</v>
      </c>
    </row>
    <row r="11">
      <c r="A11" t="inlineStr">
        <is>
          <t>read_local</t>
        </is>
      </c>
      <c r="B11">
        <v>2048</v>
      </c>
      <c r="C11">
        <v>27.84</v>
      </c>
      <c r="D11">
        <f>B11/(C11*1000)+(10+12)/2*9/1000</f>
        <v>0.1725632183908046</v>
      </c>
      <c r="E11">
        <v>0.13180542</v>
      </c>
      <c r="F11">
        <f>(D11/E11-1)*100</f>
        <v>30.922702868216344</v>
      </c>
      <c r="G11">
        <f>B11/(C11*1000)+(8+8)/2*9/1000</f>
        <v>0.1455632183908046</v>
      </c>
      <c r="H11">
        <f>(G11/E11-1)*100</f>
        <v>10.437961041969746</v>
      </c>
      <c r="I11">
        <v>0.13150024</v>
      </c>
      <c r="J11">
        <v>0.13833618</v>
      </c>
    </row>
    <row r="12">
      <c r="A12" t="inlineStr">
        <is>
          <t>read_local</t>
        </is>
      </c>
      <c r="B12">
        <v>65536</v>
      </c>
      <c r="C12">
        <v>27.84</v>
      </c>
      <c r="D12">
        <f>B12/(C12*1000)+(10+12)/2*9/1000</f>
        <v>2.4530229885057473</v>
      </c>
      <c r="E12">
        <v>2.2133484</v>
      </c>
      <c r="F12">
        <f>(D12/E12-1)*100</f>
        <v>10.828597454686628</v>
      </c>
      <c r="G12">
        <f>B12/(C12*1000)+(8+8)/2*9/1000</f>
        <v>2.426022988505747</v>
      </c>
      <c r="H12">
        <f>(G12/E12-1)*100</f>
        <v>9.60872624055693</v>
      </c>
      <c r="I12">
        <v>2.2128906</v>
      </c>
      <c r="J12">
        <v>2.2134705</v>
      </c>
    </row>
    <row r="13">
      <c r="A13" t="inlineStr">
        <is>
          <t>read_near</t>
        </is>
      </c>
      <c r="B13">
        <v>64</v>
      </c>
      <c r="C13">
        <v>28.312</v>
      </c>
      <c r="D13">
        <f>B13/(C13*1000)+(10+12)/2*9/1000</f>
        <v>0.10126052557219554</v>
      </c>
      <c r="E13">
        <v>0.16934204</v>
      </c>
      <c r="F13">
        <f>(D13/E13-1)*100</f>
        <v>-40.20355159758584</v>
      </c>
      <c r="G13">
        <f>B13/(C13*1000)+(8+8)/2*9/1000</f>
        <v>0.07426052557219555</v>
      </c>
      <c r="H13">
        <f>(G13/E13-1)*100</f>
        <v>-56.14761368636189</v>
      </c>
      <c r="I13">
        <v>0.16189575</v>
      </c>
      <c r="J13">
        <v>0.16940308</v>
      </c>
    </row>
    <row r="14">
      <c r="A14" t="inlineStr">
        <is>
          <t>read_near</t>
        </is>
      </c>
      <c r="B14">
        <v>2048</v>
      </c>
      <c r="C14">
        <v>28.312</v>
      </c>
      <c r="D14">
        <f>B14/(C14*1000)+(10+12)/2*9/1000</f>
        <v>0.17133681831025716</v>
      </c>
      <c r="E14">
        <v>0.2354126</v>
      </c>
      <c r="F14">
        <f>(D14/E14-1)*100</f>
        <v>-27.218501341790045</v>
      </c>
      <c r="G14">
        <f>B14/(C14*1000)+(8+8)/2*9/1000</f>
        <v>0.14433681831025716</v>
      </c>
      <c r="H14">
        <f>(G14/E14-1)*100</f>
        <v>-38.6877260137065</v>
      </c>
      <c r="I14">
        <v>0.2270813</v>
      </c>
      <c r="J14">
        <v>0.23602295</v>
      </c>
    </row>
    <row r="15">
      <c r="A15" t="inlineStr">
        <is>
          <t>read_near</t>
        </is>
      </c>
      <c r="B15">
        <v>65536</v>
      </c>
      <c r="C15">
        <v>28.312</v>
      </c>
      <c r="D15">
        <f>B15/(C15*1000)+(10+12)/2*9/1000</f>
        <v>2.4137781859282286</v>
      </c>
      <c r="E15">
        <v>2.3223877</v>
      </c>
      <c r="F15">
        <f>(D15/E15-1)*100</f>
        <v>3.9351950549957104</v>
      </c>
      <c r="G15">
        <f>B15/(C15*1000)+(8+8)/2*9/1000</f>
        <v>2.3867781859282284</v>
      </c>
      <c r="H15">
        <f>(G15/E15-1)*100</f>
        <v>2.7725984738994347</v>
      </c>
      <c r="I15">
        <v>2.3215027</v>
      </c>
      <c r="J15">
        <v>2.3294067</v>
      </c>
    </row>
    <row r="16">
      <c r="A16" t="inlineStr">
        <is>
          <t>read_far</t>
        </is>
      </c>
      <c r="B16">
        <v>64</v>
      </c>
      <c r="C16">
        <v>28.7</v>
      </c>
      <c r="D16">
        <f>B16/(C16*1000)+(10+12)/2*9/1000</f>
        <v>0.10122996515679443</v>
      </c>
      <c r="E16">
        <v>0.27529907</v>
      </c>
      <c r="F16">
        <f>(D16/E16-1)*100</f>
        <v>-63.22909294361422</v>
      </c>
      <c r="G16">
        <f>B16/(C16*1000)+(8+8)/2*9/1000</f>
        <v>0.07422996515679443</v>
      </c>
      <c r="H16">
        <f>(G16/E16-1)*100</f>
        <v>-73.03660882080189</v>
      </c>
      <c r="I16">
        <v>0.26745605</v>
      </c>
      <c r="J16">
        <v>0.27697754</v>
      </c>
    </row>
    <row r="17">
      <c r="A17" t="inlineStr">
        <is>
          <t>read_far</t>
        </is>
      </c>
      <c r="B17">
        <v>2048</v>
      </c>
      <c r="C17">
        <v>28.7</v>
      </c>
      <c r="D17">
        <f>B17/(C17*1000)+(10+12)/2*9/1000</f>
        <v>0.1703588850174216</v>
      </c>
      <c r="E17">
        <v>0.3413391</v>
      </c>
      <c r="F17">
        <f>(D17/E17-1)*100</f>
        <v>-50.09101359398276</v>
      </c>
      <c r="G17">
        <f>B17/(C17*1000)+(8+8)/2*9/1000</f>
        <v>0.1433588850174216</v>
      </c>
      <c r="H17">
        <f>(G17/E17-1)*100</f>
        <v>-58.001036207858526</v>
      </c>
      <c r="I17">
        <v>0.3343811</v>
      </c>
      <c r="J17">
        <v>0.3418579</v>
      </c>
    </row>
    <row r="18">
      <c r="A18" t="inlineStr">
        <is>
          <t>read_far</t>
        </is>
      </c>
      <c r="B18">
        <v>65536</v>
      </c>
      <c r="C18">
        <v>28.7</v>
      </c>
      <c r="D18">
        <f>B18/(C18*1000)+(10+12)/2*9/1000</f>
        <v>2.3824843205574915</v>
      </c>
      <c r="E18">
        <v>2.4348145</v>
      </c>
      <c r="F18">
        <f>(D18/E18-1)*100</f>
        <v>-2.1492470758042725</v>
      </c>
      <c r="G18">
        <f>B18/(C18*1000)+(8+8)/2*9/1000</f>
        <v>2.3554843205574914</v>
      </c>
      <c r="H18">
        <f>(G18/E18-1)*100</f>
        <v>-3.2581611224390405</v>
      </c>
      <c r="I18">
        <v>2.4280396</v>
      </c>
      <c r="J18">
        <v>2.4354858</v>
      </c>
    </row>
    <row r="19">
      <c r="A19" t="inlineStr">
        <is>
          <t>write_far</t>
        </is>
      </c>
      <c r="B19">
        <v>64</v>
      </c>
      <c r="C19">
        <v>27.808</v>
      </c>
      <c r="D19">
        <f>B19/(C19*1000)+(10+12)/2*9/1000</f>
        <v>0.10130149597238206</v>
      </c>
      <c r="E19">
        <v>0.27835083</v>
      </c>
      <c r="F19">
        <f>(D19/E19-1)*100</f>
        <v>-63.60654071971618</v>
      </c>
      <c r="G19">
        <f>B19/(C19*1000)+(8+8)/2*9/1000</f>
        <v>0.07430149597238206</v>
      </c>
      <c r="H19">
        <f>(G19/E19-1)*100</f>
        <v>-73.30652975872856</v>
      </c>
      <c r="I19">
        <v>0.27798462</v>
      </c>
      <c r="J19">
        <v>0.2784729</v>
      </c>
    </row>
    <row r="20">
      <c r="A20" t="inlineStr">
        <is>
          <t>write_far</t>
        </is>
      </c>
      <c r="B20">
        <v>2048</v>
      </c>
      <c r="C20">
        <v>27.808</v>
      </c>
      <c r="D20">
        <f>B20/(C20*1000)+(10+12)/2*9/1000</f>
        <v>0.17264787111622554</v>
      </c>
      <c r="E20">
        <v>0.34454346</v>
      </c>
      <c r="F20">
        <f>(D20/E20-1)*100</f>
        <v>-49.89082912320393</v>
      </c>
      <c r="G20">
        <f>B20/(C20*1000)+(8+8)/2*9/1000</f>
        <v>0.14564787111622554</v>
      </c>
      <c r="H20">
        <f>(G20/E20-1)*100</f>
        <v>-57.72728609731106</v>
      </c>
      <c r="I20">
        <v>0.3378296</v>
      </c>
      <c r="J20">
        <v>0.3446045</v>
      </c>
    </row>
    <row r="21">
      <c r="A21" t="inlineStr">
        <is>
          <t>write_far</t>
        </is>
      </c>
      <c r="B21">
        <v>65536</v>
      </c>
      <c r="C21">
        <v>27.808</v>
      </c>
      <c r="D21">
        <f>B21/(C21*1000)+(10+12)/2*9/1000</f>
        <v>2.4557318757192177</v>
      </c>
      <c r="E21">
        <v>2.4412537</v>
      </c>
      <c r="F21">
        <f>(D21/E21-1)*100</f>
        <v>0.5930631347007331</v>
      </c>
      <c r="G21">
        <f>B21/(C21*1000)+(8+8)/2*9/1000</f>
        <v>2.4287318757192176</v>
      </c>
      <c r="H21">
        <f>(G21/E21-1)*100</f>
        <v>-0.5129259724535151</v>
      </c>
      <c r="I21">
        <v>2.435669</v>
      </c>
      <c r="J21">
        <v>2.4417725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9" topLeftCell="A10" activePane="bottomLeft" state="frozen"/>
    </sheetView>
  </sheetViews>
  <sheetFormatPr defaultRowHeight="18"/>
  <cols>
    <col min="1" max="1" width="26" customWidth="1"/>
    <col min="2" max="10" width="21" customWidth="1"/>
  </cols>
  <sheetData>
    <row r="1">
      <c r="A1" t="inlineStr">
        <is>
          <t>BH validation — measured on p150b, 2026-10-20</t>
        </is>
      </c>
    </row>
    <row r="2">
      <c r="A2" t="inlineStr">
        <is>
          <t>Bandwidth preset</t>
        </is>
      </c>
      <c r="B2" t="inlineStr">
        <is>
          <t>BH P150, Dispatch workbook, 64 KiB measurements; replace BW if testing another BH variant.</t>
        </is>
      </c>
    </row>
    <row r="3">
      <c r="A3" t="inlineStr">
        <is>
          <t>Clock (MHz)</t>
        </is>
      </c>
      <c r="B3">
        <f>Sheet1!B18</f>
        <v>1350</v>
      </c>
      <c r="C3" t="inlineStr">
        <is>
          <t>From live p150b query</t>
        </is>
      </c>
    </row>
    <row r="4">
      <c r="A4" t="inlineStr">
        <is>
          <t>Router cycles/link</t>
        </is>
      </c>
      <c r="B4">
        <f>Sheet1!B19</f>
        <v>9</v>
      </c>
      <c r="C4" t="inlineStr">
        <is>
          <t>9 cycles per BH ISA documentation</t>
        </is>
      </c>
    </row>
    <row r="5">
      <c r="A5" t="inlineStr">
        <is>
          <t>NIU cycles/crossing</t>
        </is>
      </c>
      <c r="B5">
        <f>Sheet1!B46</f>
        <v>5</v>
      </c>
      <c r="C5" t="inlineStr">
        <is>
          <t>Approximately 5 cycles; four crossings per completed unicast transaction</t>
        </is>
      </c>
    </row>
    <row r="6">
      <c r="A6" t="inlineStr">
        <is>
          <t>Residual overhead (ns)</t>
        </is>
      </c>
      <c r="B6">
        <f>Sheet1!B47</f>
        <v>32.723606660203345</v>
      </c>
      <c r="C6" t="inlineStr">
        <is>
          <t>Calibrated local-read baseline minus explicit NIU time; shared across variants as a model assumption</t>
        </is>
      </c>
    </row>
    <row r="7">
      <c r="A7" t="inlineStr">
        <is>
          <t>Measurements</t>
        </is>
      </c>
      <c r="B7" t="inlineStr">
        <is>
          <t>Column E: medians of 3 runs on this BH p150b. Edit inputs to recalculate predictions.</t>
        </is>
      </c>
    </row>
    <row r="8">
      <c r="A8" t="inlineStr">
        <is>
          <t>Units</t>
        </is>
      </c>
      <c r="B8" t="inlineStr">
        <is>
          <t>GB/s = decimal gigabytes per second. Error = (estimate / measured - 1) * 100.</t>
        </is>
      </c>
    </row>
    <row r="9">
      <c r="A9" t="inlineStr">
        <is>
          <t>Transfer</t>
        </is>
      </c>
      <c r="B9" t="inlineStr">
        <is>
          <t>Bytes</t>
        </is>
      </c>
      <c r="C9" t="inlineStr">
        <is>
          <t>BW (GB/s)</t>
        </is>
      </c>
      <c r="D9" t="inlineStr">
        <is>
          <t>Estimated (us)</t>
        </is>
      </c>
      <c r="E9" t="inlineStr">
        <is>
          <t>Measured (us)</t>
        </is>
      </c>
      <c r="F9" t="inlineStr">
        <is>
          <t>Error (%)</t>
        </is>
      </c>
      <c r="G9" t="inlineStr">
        <is>
          <t>Measured min (us)</t>
        </is>
      </c>
      <c r="H9" t="inlineStr">
        <is>
          <t>Measured max (us)</t>
        </is>
      </c>
      <c r="I9" t="inlineStr">
        <is>
          <t>Measured samples (us)</t>
        </is>
      </c>
      <c r="J9" t="inlineStr">
        <is>
          <t>Round-trip links</t>
        </is>
      </c>
      <c r="K9" t="inlineStr">
        <is>
          <t>NIU crossings</t>
        </is>
      </c>
      <c r="L9" t="inlineStr">
        <is>
          <t>Original estimate (us)</t>
        </is>
      </c>
    </row>
    <row r="10">
      <c r="A10" t="inlineStr">
        <is>
          <t>read_local</t>
        </is>
      </c>
      <c r="B10">
        <v>64</v>
      </c>
      <c r="C10">
        <f>Sheet1!B38</f>
        <v>79.858</v>
      </c>
      <c r="D10">
        <f>B10/(C10*1000)+(J10*$B$4+K10*$B$5)/$B$3+$B$6/1000</f>
        <v>0.04833984400000001</v>
      </c>
      <c r="E10">
        <v>0.048339844</v>
      </c>
      <c r="F10">
        <f>(D10/E10-1)*100</f>
        <v>2.220446049250313e-14</v>
      </c>
      <c r="G10">
        <v>0.048187256</v>
      </c>
      <c r="H10">
        <v>0.04840088</v>
      </c>
      <c r="I10" t="inlineStr">
        <is>
          <t>[0.048339844, 0.04840088, 0.048187256]</t>
        </is>
      </c>
      <c r="J10">
        <f>'BH routes'!L10</f>
        <v>0</v>
      </c>
      <c r="K10">
        <f>Sheet1!B45</f>
        <v>4</v>
      </c>
      <c r="L10">
        <v>0.09530142252498185</v>
      </c>
    </row>
    <row r="11">
      <c r="A11" t="inlineStr">
        <is>
          <t>read_local</t>
        </is>
      </c>
      <c r="B11">
        <v>2048</v>
      </c>
      <c r="C11">
        <f>Sheet1!B38</f>
        <v>79.858</v>
      </c>
      <c r="D11">
        <f>B11/(C11*1000)+(J11*$B$4+K11*$B$5)/$B$3+$B$6/1000</f>
        <v>0.07318394227443714</v>
      </c>
      <c r="E11">
        <v>0.07312012</v>
      </c>
      <c r="F11">
        <f>(D11/E11-1)*100</f>
        <v>0.08728414892802405</v>
      </c>
      <c r="G11">
        <v>0.07305908</v>
      </c>
      <c r="H11">
        <v>0.07348633</v>
      </c>
      <c r="I11" t="inlineStr">
        <is>
          <t>[0.07312012, 0.07348633, 0.07305908]</t>
        </is>
      </c>
      <c r="J11">
        <f>'BH routes'!L10</f>
        <v>0</v>
      </c>
      <c r="K11">
        <f>Sheet1!B45</f>
        <v>4</v>
      </c>
      <c r="L11">
        <v>0.12014552079941897</v>
      </c>
    </row>
    <row r="12">
      <c r="A12" t="inlineStr">
        <is>
          <t>read_local</t>
        </is>
      </c>
      <c r="B12">
        <v>65536</v>
      </c>
      <c r="C12">
        <f>Sheet1!B38</f>
        <v>79.858</v>
      </c>
      <c r="D12">
        <f>B12/(C12*1000)+(J12*$B$4+K12*$B$5)/$B$3+$B$6/1000</f>
        <v>0.8681950870564252</v>
      </c>
      <c r="E12">
        <v>0.88793945</v>
      </c>
      <c r="F12">
        <f>(D12/E12-1)*100</f>
        <v>-2.2236159170059056</v>
      </c>
      <c r="G12">
        <v>0.88775635</v>
      </c>
      <c r="H12">
        <v>0.88830566</v>
      </c>
      <c r="I12" t="inlineStr">
        <is>
          <t>[0.88830566, 0.88775635, 0.88793945]</t>
        </is>
      </c>
      <c r="J12">
        <f>'BH routes'!L10</f>
        <v>0</v>
      </c>
      <c r="K12">
        <f>Sheet1!B45</f>
        <v>4</v>
      </c>
      <c r="L12">
        <v>0.9151566655814071</v>
      </c>
    </row>
    <row r="13">
      <c r="A13" t="inlineStr">
        <is>
          <t>read_near</t>
        </is>
      </c>
      <c r="B13">
        <v>64</v>
      </c>
      <c r="C13">
        <f>Sheet1!B36</f>
        <v>82.37</v>
      </c>
      <c r="D13">
        <f>B13/(C13*1000)+(J13*$B$4+K13*$B$5)/$B$3+$B$6/1000</f>
        <v>0.16164873671924138</v>
      </c>
      <c r="E13">
        <v>0.16134644</v>
      </c>
      <c r="F13">
        <f>(D13/E13-1)*100</f>
        <v>0.1873587785645503</v>
      </c>
      <c r="G13">
        <v>0.16091919</v>
      </c>
      <c r="H13">
        <v>0.16165161</v>
      </c>
      <c r="I13" t="inlineStr">
        <is>
          <t>[0.16134644, 0.16091919, 0.16165161]</t>
        </is>
      </c>
      <c r="J13">
        <f>'BH routes'!L11</f>
        <v>17</v>
      </c>
      <c r="K13">
        <f>Sheet1!B45</f>
        <v>4</v>
      </c>
      <c r="L13">
        <v>0.09527698191088989</v>
      </c>
    </row>
    <row r="14">
      <c r="A14" t="inlineStr">
        <is>
          <t>read_near</t>
        </is>
      </c>
      <c r="B14">
        <v>2048</v>
      </c>
      <c r="C14">
        <f>Sheet1!B36</f>
        <v>82.37</v>
      </c>
      <c r="D14">
        <f>B14/(C14*1000)+(J14*$B$4+K14*$B$5)/$B$3+$B$6/1000</f>
        <v>0.1857351759568279</v>
      </c>
      <c r="E14">
        <v>0.18615723</v>
      </c>
      <c r="F14">
        <f>(D14/E14-1)*100</f>
        <v>-0.2267191251030698</v>
      </c>
      <c r="G14">
        <v>0.18585205</v>
      </c>
      <c r="H14">
        <v>0.18630981</v>
      </c>
      <c r="I14" t="inlineStr">
        <is>
          <t>[0.18585205, 0.18615723, 0.18630981]</t>
        </is>
      </c>
      <c r="J14">
        <f>'BH routes'!L11</f>
        <v>17</v>
      </c>
      <c r="K14">
        <f>Sheet1!B45</f>
        <v>4</v>
      </c>
      <c r="L14">
        <v>0.1193634211484764</v>
      </c>
    </row>
    <row r="15">
      <c r="A15" t="inlineStr">
        <is>
          <t>read_near</t>
        </is>
      </c>
      <c r="B15">
        <v>65536</v>
      </c>
      <c r="C15">
        <f>Sheet1!B36</f>
        <v>82.37</v>
      </c>
      <c r="D15">
        <f>B15/(C15*1000)+(J15*$B$4+K15*$B$5)/$B$3+$B$6/1000</f>
        <v>0.9565012315595959</v>
      </c>
      <c r="E15">
        <v>0.9479675</v>
      </c>
      <c r="F15">
        <f>(D15/E15-1)*100</f>
        <v>0.9002135157160973</v>
      </c>
      <c r="G15">
        <v>0.947937</v>
      </c>
      <c r="H15">
        <v>0.94799805</v>
      </c>
      <c r="I15" t="inlineStr">
        <is>
          <t>[0.947937, 0.94799805, 0.9479675]</t>
        </is>
      </c>
      <c r="J15">
        <f>'BH routes'!L11</f>
        <v>17</v>
      </c>
      <c r="K15">
        <f>Sheet1!B45</f>
        <v>4</v>
      </c>
      <c r="L15">
        <v>0.8901294767512444</v>
      </c>
    </row>
    <row r="16">
      <c r="A16" t="inlineStr">
        <is>
          <t>read_far</t>
        </is>
      </c>
      <c r="B16">
        <v>64</v>
      </c>
      <c r="C16">
        <f>Sheet1!B37</f>
        <v>82.072</v>
      </c>
      <c r="D16">
        <f>B16/(C16*1000)+(J16*$B$4+K16*$B$5)/$B$3+$B$6/1000</f>
        <v>0.2416515579080688</v>
      </c>
      <c r="E16">
        <v>0.24441528</v>
      </c>
      <c r="F16">
        <f>(D16/E16-1)*100</f>
        <v>-1.1307484916373567</v>
      </c>
      <c r="G16">
        <v>0.24407959</v>
      </c>
      <c r="H16">
        <v>0.2449646</v>
      </c>
      <c r="I16" t="inlineStr">
        <is>
          <t>[0.24407959, 0.24441528, 0.2449646]</t>
        </is>
      </c>
      <c r="J16">
        <f>'BH routes'!L12</f>
        <v>29</v>
      </c>
      <c r="K16">
        <f>Sheet1!B45</f>
        <v>4</v>
      </c>
      <c r="L16">
        <v>0.09527980309971733</v>
      </c>
    </row>
    <row r="17">
      <c r="A17" t="inlineStr">
        <is>
          <t>read_far</t>
        </is>
      </c>
      <c r="B17">
        <v>2048</v>
      </c>
      <c r="C17">
        <f>Sheet1!B37</f>
        <v>82.072</v>
      </c>
      <c r="D17">
        <f>B17/(C17*1000)+(J17*$B$4+K17*$B$5)/$B$3+$B$6/1000</f>
        <v>0.26582545399930574</v>
      </c>
      <c r="E17">
        <v>0.26904297</v>
      </c>
      <c r="F17">
        <f>(D17/E17-1)*100</f>
        <v>-1.1959115678414678</v>
      </c>
      <c r="G17">
        <v>0.26879883</v>
      </c>
      <c r="H17">
        <v>0.26934814</v>
      </c>
      <c r="I17" t="inlineStr">
        <is>
          <t>[0.26879883, 0.26934814, 0.26904297]</t>
        </is>
      </c>
      <c r="J17">
        <f>'BH routes'!L12</f>
        <v>29</v>
      </c>
      <c r="K17">
        <f>Sheet1!B45</f>
        <v>4</v>
      </c>
      <c r="L17">
        <v>0.11945369919095428</v>
      </c>
    </row>
    <row r="18">
      <c r="A18" t="inlineStr">
        <is>
          <t>read_far</t>
        </is>
      </c>
      <c r="B18">
        <v>65536</v>
      </c>
      <c r="C18">
        <f>Sheet1!B37</f>
        <v>82.072</v>
      </c>
      <c r="D18">
        <f>B18/(C18*1000)+(J18*$B$4+K18*$B$5)/$B$3+$B$6/1000</f>
        <v>1.0393901289188885</v>
      </c>
      <c r="E18">
        <v>1.026001</v>
      </c>
      <c r="F18">
        <f>(D18/E18-1)*100</f>
        <v>1.304982053515391</v>
      </c>
      <c r="G18">
        <v>1.0254517</v>
      </c>
      <c r="H18">
        <v>1.0260315</v>
      </c>
      <c r="I18" t="inlineStr">
        <is>
          <t>[1.026001, 1.0260315, 1.0254517]</t>
        </is>
      </c>
      <c r="J18">
        <f>'BH routes'!L12</f>
        <v>29</v>
      </c>
      <c r="K18">
        <f>Sheet1!B45</f>
        <v>4</v>
      </c>
      <c r="L18">
        <v>0.8930183741105371</v>
      </c>
    </row>
    <row r="19">
      <c r="A19" t="inlineStr">
        <is>
          <t>write_far</t>
        </is>
      </c>
      <c r="B19">
        <v>64</v>
      </c>
      <c r="C19">
        <f>Sheet1!B39</f>
        <v>83.375</v>
      </c>
      <c r="D19">
        <f>B19/(C19*1000)+(J19*$B$4+K19*$B$5)/$B$3+$B$6/1000</f>
        <v>0.24163937100025554</v>
      </c>
      <c r="E19">
        <v>0.24047852</v>
      </c>
      <c r="F19">
        <f>(D19/E19-1)*100</f>
        <v>0.4827254426946537</v>
      </c>
      <c r="G19">
        <v>0.24032593</v>
      </c>
      <c r="H19">
        <v>0.24060059</v>
      </c>
      <c r="I19" t="inlineStr">
        <is>
          <t>[0.24060059, 0.24047852, 0.24032593]</t>
        </is>
      </c>
      <c r="J19">
        <f>'BH routes'!L13</f>
        <v>29</v>
      </c>
      <c r="K19">
        <f>Sheet1!B45</f>
        <v>4</v>
      </c>
      <c r="L19">
        <v>0.09526761619190405</v>
      </c>
    </row>
    <row r="20">
      <c r="A20" t="inlineStr">
        <is>
          <t>write_far</t>
        </is>
      </c>
      <c r="B20">
        <v>2048</v>
      </c>
      <c r="C20">
        <f>Sheet1!B39</f>
        <v>83.375</v>
      </c>
      <c r="D20">
        <f>B20/(C20*1000)+(J20*$B$4+K20*$B$5)/$B$3+$B$6/1000</f>
        <v>0.265435472949281</v>
      </c>
      <c r="E20">
        <v>0.2652893</v>
      </c>
      <c r="F20">
        <f>(D20/E20-1)*100</f>
        <v>0.055099451534990074</v>
      </c>
      <c r="G20">
        <v>0.26516724</v>
      </c>
      <c r="H20">
        <v>0.26531982</v>
      </c>
      <c r="I20" t="inlineStr">
        <is>
          <t>[0.2652893, 0.26516724, 0.26531982]</t>
        </is>
      </c>
      <c r="J20">
        <f>'BH routes'!L13</f>
        <v>29</v>
      </c>
      <c r="K20">
        <f>Sheet1!B45</f>
        <v>4</v>
      </c>
      <c r="L20">
        <v>0.11906371814092953</v>
      </c>
    </row>
    <row r="21">
      <c r="A21" t="inlineStr">
        <is>
          <t>write_far</t>
        </is>
      </c>
      <c r="B21">
        <v>65536</v>
      </c>
      <c r="C21">
        <f>Sheet1!B39</f>
        <v>83.375</v>
      </c>
      <c r="D21">
        <f>B21/(C21*1000)+(J21*$B$4+K21*$B$5)/$B$3+$B$6/1000</f>
        <v>1.0269107353180964</v>
      </c>
      <c r="E21">
        <v>1.0254822</v>
      </c>
      <c r="F21">
        <f>(D21/E21-1)*100</f>
        <v>0.13930376539899036</v>
      </c>
      <c r="G21">
        <v>1.0254517</v>
      </c>
      <c r="H21">
        <v>1.0255432</v>
      </c>
      <c r="I21" t="inlineStr">
        <is>
          <t>[1.0255432, 1.0254822, 1.0254517]</t>
        </is>
      </c>
      <c r="J21">
        <f>'BH routes'!L13</f>
        <v>29</v>
      </c>
      <c r="K21">
        <f>Sheet1!B45</f>
        <v>4</v>
      </c>
      <c r="L21">
        <v>0.8805389805097451</v>
      </c>
    </row>
    <row r="24">
      <c r="A24" t="inlineStr">
        <is>
          <t>Run on BH</t>
        </is>
      </c>
      <c r="B24" t="inlineStr">
        <is>
          <t>From a compatible tt-metal checkout with test_bw_and_latency built.</t>
        </is>
      </c>
    </row>
    <row r="25">
      <c r="A25" t="inlineStr">
        <is>
          <t>Query worker grid</t>
        </is>
      </c>
      <c r="B25" t="inlineStr">
        <is>
          <t>d = ttnn.open_device(device_id=0); print(d.compute_with_storage_grid_size()); ttnn.close_device(d)</t>
        </is>
      </c>
    </row>
    <row r="26">
      <c r="A26" t="inlineStr">
        <is>
          <t>Benchmark command</t>
        </is>
      </c>
      <c r="B26" t="inlineStr">
        <is>
          <t>build/test/tt_metal/perf_microbenchmark/dispatch/test_bw_and_latency -m 2 -rx 1 -ry 0 -sx X -sy Y -bs 64 -p BYTES -i ITERS -w 1 -l</t>
        </is>
      </c>
    </row>
    <row r="27">
      <c r="A27" t="inlineStr">
        <is>
          <t>Endpoint selection</t>
        </is>
      </c>
      <c r="B27" t="inlineStr">
        <is>
          <t>Logical cores: local X=1,Y=0; near X=0,Y=0; far X=grid.x-1,Y=grid.y-1. Use actual usable worker grid.</t>
        </is>
      </c>
    </row>
    <row r="28">
      <c r="A28" t="inlineStr">
        <is>
          <t>Write case</t>
        </is>
      </c>
      <c r="B28" t="inlineStr">
        <is>
          <t>Append -wr to the benchmark command for write_far.</t>
        </is>
      </c>
    </row>
    <row r="29">
      <c r="A29" t="inlineStr">
        <is>
          <t>Iterations</t>
        </is>
      </c>
      <c r="B29" t="inlineStr">
        <is>
          <t>64 B: ITERS=32; 2048 B: ITERS=1024; 65536 B: ITERS=32768. Each produces 32768 serialized transfers.</t>
        </is>
      </c>
    </row>
    <row r="30">
      <c r="A30" t="inlineStr">
        <is>
          <t>Repetitions</t>
        </is>
      </c>
      <c r="B30" t="inlineStr">
        <is>
          <t>Run each case 3 times; put median of reported Latency: ... us in column E.</t>
        </is>
      </c>
    </row>
    <row r="31">
      <c r="A31" t="inlineStr">
        <is>
          <t>Portability</t>
        </is>
      </c>
      <c r="B31" t="inlineStr">
        <is>
          <t>All numerical inputs are embedded. Dispatch BW.xlsx and WH CSV files are not needed to use this workbook.</t>
        </is>
      </c>
    </row>
    <row r="32">
      <c r="A32" t="inlineStr">
        <is>
          <t>Model limitation</t>
        </is>
      </c>
      <c r="B32" t="inlineStr">
        <is>
          <t>Route-aware serialized model. NIU cost is explicit; residual is calibrated from local 64 B read. No independent validation for calibration row.</t>
        </is>
      </c>
    </row>
    <row r="34">
      <c r="A34" t="inlineStr">
        <is>
          <t>Measured hardware</t>
        </is>
      </c>
      <c r="B34" t="inlineStr">
        <is>
          <t>Blackhole p150b; UMD device 0, PCI device 1. Firmware 19.5.0. Queried worker grid 11 x 10.</t>
        </is>
      </c>
    </row>
    <row r="35">
      <c r="A35" t="inlineStr">
        <is>
          <t>Measured endpoints</t>
        </is>
      </c>
      <c r="B35" t="inlineStr">
        <is>
          <t>Logical initiator (1,0), local (1,0), near (0,0), far (10,9). Physical NoC0: initiator (2,2), near (1,2), far (15,11); far translated address (13,11).</t>
        </is>
      </c>
    </row>
    <row r="36">
      <c r="A36" t="inlineStr">
        <is>
          <t>Run methodology</t>
        </is>
      </c>
      <c r="B36" t="inlineStr">
        <is>
          <t>2026-10-20: 3 independent runs/case, 32768 serialized transfers/run; one warm-up workload; median reported.</t>
        </is>
      </c>
    </row>
    <row r="37">
      <c r="A37" t="inlineStr">
        <is>
          <t>Timing limitations</t>
        </is>
      </c>
      <c r="B37" t="inlineStr">
        <is>
          <t>Host enqueue+Finish time amortized over transfers; completion barrier per transfer; no payload correctness check.</t>
        </is>
      </c>
    </row>
    <row r="38">
      <c r="A38" t="inlineStr">
        <is>
          <t>Prediction inputs</t>
        </is>
      </c>
      <c r="B38" t="inlineStr">
        <is>
          <t>Clock 1350 MHz, 9 cycles/router link, ~5 cycles/NIU crossing, actual round-trip links, measured-local residual; imported P150 bandwidths unchanged.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14" width="22" customWidth="1"/>
  </cols>
  <sheetData>
    <row r="1">
      <c r="A1" t="inlineStr">
        <is>
          <t>BH NoC0 physical link counts — verified 2026-10-20</t>
        </is>
      </c>
    </row>
    <row r="2">
      <c r="A2" t="inlineStr">
        <is>
          <t>Physical grid columns</t>
        </is>
      </c>
      <c r="B2">
        <v>17</v>
      </c>
    </row>
    <row r="3">
      <c r="A3" t="inlineStr">
        <is>
          <t>Physical grid rows</t>
        </is>
      </c>
      <c r="B3">
        <v>12</v>
      </c>
    </row>
    <row r="4">
      <c r="A4" t="inlineStr">
        <is>
          <t>Clock (MHz)</t>
        </is>
      </c>
      <c r="B4">
        <v>1350</v>
      </c>
    </row>
    <row r="5">
      <c r="A5" t="inlineStr">
        <is>
          <t>Documented cycles/link</t>
        </is>
      </c>
      <c r="B5">
        <v>9</v>
      </c>
    </row>
    <row r="6">
      <c r="A6" t="inlineStr">
        <is>
          <t>Earlier assumed ns/link</t>
        </is>
      </c>
      <c r="B6">
        <v>9</v>
      </c>
    </row>
    <row r="7">
      <c r="A7" t="inlineStr">
        <is>
          <t>Coordinates</t>
        </is>
      </c>
      <c r="B7" t="inlineStr">
        <is>
          <t>Physical NoC0 coordinates after undoing harvesting translation; not logical or translated coordinates.</t>
        </is>
      </c>
    </row>
    <row r="8">
      <c r="A8" t="inlineStr">
        <is>
          <t>Routing</t>
        </is>
      </c>
      <c r="B8" t="inlineStr">
        <is>
          <t>NoC0: increasing X first, then increasing Y, wrapping at 17 and 12. Response/ACK uses the same NoC0 directions.</t>
        </is>
      </c>
    </row>
    <row r="9">
      <c r="A9" t="inlineStr">
        <is>
          <t>Transfer</t>
        </is>
      </c>
      <c r="B9" t="inlineStr">
        <is>
          <t>Src X</t>
        </is>
      </c>
      <c r="C9" t="inlineStr">
        <is>
          <t>Src Y</t>
        </is>
      </c>
      <c r="D9" t="inlineStr">
        <is>
          <t>Dst X</t>
        </is>
      </c>
      <c r="E9" t="inlineStr">
        <is>
          <t>Dst Y</t>
        </is>
      </c>
      <c r="F9" t="inlineStr">
        <is>
          <t>Out X links</t>
        </is>
      </c>
      <c r="G9" t="inlineStr">
        <is>
          <t>Out Y links</t>
        </is>
      </c>
      <c r="H9" t="inlineStr">
        <is>
          <t>Out total</t>
        </is>
      </c>
      <c r="I9" t="inlineStr">
        <is>
          <t>Return X</t>
        </is>
      </c>
      <c r="J9" t="inlineStr">
        <is>
          <t>Return Y</t>
        </is>
      </c>
      <c r="K9" t="inlineStr">
        <is>
          <t>Return total</t>
        </is>
      </c>
      <c r="L9" t="inlineStr">
        <is>
          <t>Round-trip links</t>
        </is>
      </c>
      <c r="M9" t="inlineStr">
        <is>
          <t>At 9 ns (ns)</t>
        </is>
      </c>
      <c r="N9" t="inlineStr">
        <is>
          <t>At 9 cycles (ns)</t>
        </is>
      </c>
    </row>
    <row r="10">
      <c r="A10" t="inlineStr">
        <is>
          <t>local read</t>
        </is>
      </c>
      <c r="B10">
        <v>2</v>
      </c>
      <c r="C10">
        <v>2</v>
      </c>
      <c r="D10">
        <v>2</v>
      </c>
      <c r="E10">
        <v>2</v>
      </c>
      <c r="F10">
        <f>MOD(D10-B10,$B$2)</f>
        <v>0</v>
      </c>
      <c r="G10">
        <f>MOD(E10-C10,$B$3)</f>
        <v>0</v>
      </c>
      <c r="H10">
        <f>F10+G10</f>
        <v>0</v>
      </c>
      <c r="I10">
        <f>MOD(B10-D10,$B$2)</f>
        <v>0</v>
      </c>
      <c r="J10">
        <f>MOD(C10-E10,$B$3)</f>
        <v>0</v>
      </c>
      <c r="K10">
        <f>I10+J10</f>
        <v>0</v>
      </c>
      <c r="L10">
        <f>H10+K10</f>
        <v>0</v>
      </c>
      <c r="M10">
        <f>L10*$B$6</f>
        <v>0</v>
      </c>
      <c r="N10">
        <f>L10*$B$5/($B$4/1000)</f>
        <v>0.0</v>
      </c>
    </row>
    <row r="11">
      <c r="A11" t="inlineStr">
        <is>
          <t>near read</t>
        </is>
      </c>
      <c r="B11">
        <v>2</v>
      </c>
      <c r="C11">
        <v>2</v>
      </c>
      <c r="D11">
        <v>1</v>
      </c>
      <c r="E11">
        <v>2</v>
      </c>
      <c r="F11">
        <f>MOD(D11-B11,$B$2)</f>
        <v>16</v>
      </c>
      <c r="G11">
        <f>MOD(E11-C11,$B$3)</f>
        <v>0</v>
      </c>
      <c r="H11">
        <f>F11+G11</f>
        <v>16</v>
      </c>
      <c r="I11">
        <f>MOD(B11-D11,$B$2)</f>
        <v>1</v>
      </c>
      <c r="J11">
        <f>MOD(C11-E11,$B$3)</f>
        <v>0</v>
      </c>
      <c r="K11">
        <f>I11+J11</f>
        <v>1</v>
      </c>
      <c r="L11">
        <f>H11+K11</f>
        <v>17</v>
      </c>
      <c r="M11">
        <f>L11*$B$6</f>
        <v>153</v>
      </c>
      <c r="N11">
        <f>L11*$B$5/($B$4/1000)</f>
        <v>113.33333333333333</v>
      </c>
    </row>
    <row r="12">
      <c r="A12" t="inlineStr">
        <is>
          <t>far read</t>
        </is>
      </c>
      <c r="B12">
        <v>2</v>
      </c>
      <c r="C12">
        <v>2</v>
      </c>
      <c r="D12">
        <v>15</v>
      </c>
      <c r="E12">
        <v>11</v>
      </c>
      <c r="F12">
        <f>MOD(D12-B12,$B$2)</f>
        <v>13</v>
      </c>
      <c r="G12">
        <f>MOD(E12-C12,$B$3)</f>
        <v>9</v>
      </c>
      <c r="H12">
        <f>F12+G12</f>
        <v>22</v>
      </c>
      <c r="I12">
        <f>MOD(B12-D12,$B$2)</f>
        <v>4</v>
      </c>
      <c r="J12">
        <f>MOD(C12-E12,$B$3)</f>
        <v>3</v>
      </c>
      <c r="K12">
        <f>I12+J12</f>
        <v>7</v>
      </c>
      <c r="L12">
        <f>H12+K12</f>
        <v>29</v>
      </c>
      <c r="M12">
        <f>L12*$B$6</f>
        <v>261</v>
      </c>
      <c r="N12">
        <f>L12*$B$5/($B$4/1000)</f>
        <v>193.33333333333331</v>
      </c>
    </row>
    <row r="13">
      <c r="A13" t="inlineStr">
        <is>
          <t>far write + ACK</t>
        </is>
      </c>
      <c r="B13">
        <v>2</v>
      </c>
      <c r="C13">
        <v>2</v>
      </c>
      <c r="D13">
        <v>15</v>
      </c>
      <c r="E13">
        <v>11</v>
      </c>
      <c r="F13">
        <f>MOD(D13-B13,$B$2)</f>
        <v>13</v>
      </c>
      <c r="G13">
        <f>MOD(E13-C13,$B$3)</f>
        <v>9</v>
      </c>
      <c r="H13">
        <f>F13+G13</f>
        <v>22</v>
      </c>
      <c r="I13">
        <f>MOD(B13-D13,$B$2)</f>
        <v>4</v>
      </c>
      <c r="J13">
        <f>MOD(C13-E13,$B$3)</f>
        <v>3</v>
      </c>
      <c r="K13">
        <f>I13+J13</f>
        <v>7</v>
      </c>
      <c r="L13">
        <f>H13+K13</f>
        <v>29</v>
      </c>
      <c r="M13">
        <f>L13*$B$6</f>
        <v>261</v>
      </c>
      <c r="N13">
        <f>L13*$B$5/($B$4/1000)</f>
        <v>193.33333333333331</v>
      </c>
    </row>
    <row r="16">
      <c r="A16" t="inlineStr">
        <is>
          <t>Near read request</t>
        </is>
      </c>
      <c r="B16" t="inlineStr">
        <is>
          <t>(2,2) -&gt; (3,2) -&gt; ... -&gt; (16,2) -&gt; (0,2) -&gt; (1,2): 16 X links. Data returns (1,2) -&gt; (2,2): 1 link.</t>
        </is>
      </c>
    </row>
    <row r="17">
      <c r="A17" t="inlineStr">
        <is>
          <t>Far read request</t>
        </is>
      </c>
      <c r="B17" t="inlineStr">
        <is>
          <t>(2,2) -&gt; (15,2): 13 X links; (15,2) -&gt; (15,11): 9 Y links. Total 22.</t>
        </is>
      </c>
    </row>
    <row r="18">
      <c r="A18" t="inlineStr">
        <is>
          <t>Far read response</t>
        </is>
      </c>
      <c r="B18" t="inlineStr">
        <is>
          <t>(15,11) -&gt; (16,11) -&gt; (0,11) -&gt; (1,11) -&gt; (2,11): 4 X links; (2,11) -&gt; (2,0) -&gt; (2,1) -&gt; (2,2): 3 Y links. Total 7.</t>
        </is>
      </c>
    </row>
    <row r="19">
      <c r="A19" t="inlineStr">
        <is>
          <t>Physical mapping</t>
        </is>
      </c>
      <c r="B19" t="inlineStr">
        <is>
          <t>Logical (10,9) -&gt; translated (13,11) -&gt; physical (15,11). Initiator logical (1,0) -&gt; physical (2,2).</t>
        </is>
      </c>
    </row>
    <row r="20">
      <c r="A20" t="inlineStr">
        <is>
          <t>Completion semantics</t>
        </is>
      </c>
      <c r="B20" t="inlineStr">
        <is>
          <t>Read: request + data response. Test writes are nonposted; barrier waits for ACK. Local transfer has 0 inter-router links but nonzero endpoint/software latency.</t>
        </is>
      </c>
    </row>
    <row r="21">
      <c r="A21" t="inlineStr">
        <is>
          <t>Scope</t>
        </is>
      </c>
      <c r="B21" t="inlineStr">
        <is>
          <t>Link counts are per request/response pair, not summed across all packets of a large transfer. Payload streaming and packet overlap must be modeled separately.</t>
        </is>
      </c>
    </row>
    <row r="22">
      <c r="A22" t="inlineStr">
        <is>
          <t>Units correction</t>
        </is>
      </c>
      <c r="B22" t="inlineStr">
        <is>
          <t>Official BH ISA docs specify 9 router cycles, NOT 9 ns. At queried 1350 MHz, 9 cycles = 6.6667 ns. Earlier estimates retained for comparison.</t>
        </is>
      </c>
    </row>
    <row r="23">
      <c r="A23" t="inlineStr">
        <is>
          <t>Other latency</t>
        </is>
      </c>
      <c r="B23" t="inlineStr">
        <is>
          <t>NIU-to-router and router-to-NIU each ~5 cycles per docs; software, L1 handling, barriers and congestion are not included in link-only times.</t>
        </is>
      </c>
    </row>
    <row r="24">
      <c r="A24" t="inlineStr">
        <is>
          <t>Routing source</t>
        </is>
      </c>
      <c r="B24" t="inlineStr">
        <is>
          <t>https://github.com/tenstorrent/tt-isa-documentation/blob/main/BlackholeA0/NoC/RoutingPaths.md</t>
        </is>
      </c>
    </row>
    <row r="25">
      <c r="A25" t="inlineStr">
        <is>
          <t>Latency source</t>
        </is>
      </c>
      <c r="B25" t="inlineStr">
        <is>
          <t>https://github.com/tenstorrent/tt-isa-documentation/blob/main/BlackholeA0/NoC/README.md#performance</t>
        </is>
      </c>
    </row>
    <row r="26">
      <c r="A26" t="inlineStr">
        <is>
          <t>Topology source</t>
        </is>
      </c>
      <c r="B26" t="inlineStr">
        <is>
          <t>tt_metal/soc_descriptors/blackhole_140_arch.yaml: grid 17 x 12; runtime UMD TRANSLATED -&gt; NOC0 mapping verified.</t>
        </is>
      </c>
    </row>
    <row r="29">
      <c r="A29" t="inlineStr">
        <is>
          <t>64 B read comparison</t>
        </is>
      </c>
      <c r="B29" t="inlineStr">
        <is>
          <t>Measured (ns)</t>
        </is>
      </c>
      <c r="C29" t="inlineStr">
        <is>
          <t>Measured minus local (ns)</t>
        </is>
      </c>
      <c r="D29" t="inlineStr">
        <is>
          <t>Link time at 9 cycles (ns)</t>
        </is>
      </c>
    </row>
    <row r="30">
      <c r="A30" t="inlineStr">
        <is>
          <t>read_local</t>
        </is>
      </c>
      <c r="B30">
        <v>48.339844</v>
      </c>
      <c r="C30">
        <v>0.0</v>
      </c>
      <c r="D30">
        <v>0.0</v>
      </c>
    </row>
    <row r="31">
      <c r="A31" t="inlineStr">
        <is>
          <t>read_near</t>
        </is>
      </c>
      <c r="B31">
        <v>161.34644</v>
      </c>
      <c r="C31">
        <v>113.006596</v>
      </c>
      <c r="D31">
        <v>113.33333333333333</v>
      </c>
    </row>
    <row r="32">
      <c r="A32" t="inlineStr">
        <is>
          <t>read_far</t>
        </is>
      </c>
      <c r="B32">
        <v>244.41528000000002</v>
      </c>
      <c r="C32">
        <v>196.07543600000002</v>
      </c>
      <c r="D32">
        <v>193.33333333333331</v>
      </c>
    </row>
    <row r="34">
      <c r="A34" t="inlineStr">
        <is>
          <t>Interpretation</t>
        </is>
      </c>
      <c r="B34" t="inlineStr">
        <is>
          <t>The near/far minus-local differences approximately match link time at 9 cycles. This is evidence of consistency, not an independent per-link calibration.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8"/>
  <cols>
    <col min="1" max="1" width="28" customWidth="1"/>
    <col min="2" max="12" width="22" customWidth="1"/>
  </cols>
  <sheetData>
    <row r="1">
      <c r="A1" t="inlineStr">
        <is>
          <t>L1 whole-shard copy: serialized vs batched reads</t>
        </is>
      </c>
    </row>
    <row r="2">
      <c r="A2" t="inlineStr">
        <is>
          <t>BH p150b; 2026-10-20</t>
        </is>
      </c>
      <c r="B2" t="inlineStr">
        <is>
          <t>box=bh-50-special-dstoiljkovic-for-reservation-136502; 2 L1 cores, 1 active NCRISC NoC0 reader</t>
        </is>
      </c>
    </row>
    <row r="3">
      <c r="A3" t="inlineStr">
        <is>
          <t>Clock MHz</t>
        </is>
      </c>
      <c r="B3">
        <v>1350</v>
      </c>
    </row>
    <row r="4">
      <c r="A4" t="inlineStr">
        <is>
          <t>Residual overhead ns</t>
        </is>
      </c>
      <c r="B4">
        <v>32.72360666</v>
      </c>
    </row>
    <row r="5">
      <c r="A5" t="inlineStr">
        <is>
          <t>Router cycles/link</t>
        </is>
      </c>
      <c r="B5">
        <v>9</v>
      </c>
    </row>
    <row r="6">
      <c r="A6" t="inlineStr">
        <is>
          <t>NIU cycles/crossing</t>
        </is>
      </c>
      <c r="B6">
        <v>5</v>
      </c>
    </row>
    <row r="7">
      <c r="A7" t="inlineStr">
        <is>
          <t>Measurement</t>
        </is>
      </c>
      <c r="B7" t="inlineStr">
        <is>
          <t>DEVICE KERNEL DURATION [ns] / 100 copies per kernel; median of 3 launches; exact equality passed.</t>
        </is>
      </c>
    </row>
    <row r="8">
      <c r="A8" t="inlineStr">
        <is>
          <t>Estimate</t>
        </is>
      </c>
      <c r="B8" t="inlineStr">
        <is>
          <t>N*2048/BW + ceil(N/batch)*((9*links+4*5)*1000/MHz+residual_ns). Model inputs frozen from prior transaction calibration.</t>
        </is>
      </c>
    </row>
    <row r="9">
      <c r="A9" t="inlineStr">
        <is>
          <t>Placement</t>
        </is>
      </c>
      <c r="B9" t="inlineStr">
        <is>
          <t>Variant</t>
        </is>
      </c>
      <c r="C9" t="inlineStr">
        <is>
          <t>Pages</t>
        </is>
      </c>
      <c r="D9" t="inlineStr">
        <is>
          <t>Batch pages</t>
        </is>
      </c>
      <c r="E9" t="inlineStr">
        <is>
          <t>Round-trip links</t>
        </is>
      </c>
      <c r="F9" t="inlineStr">
        <is>
          <t>BW GB/s</t>
        </is>
      </c>
      <c r="G9" t="inlineStr">
        <is>
          <t>Predicted us/copy</t>
        </is>
      </c>
      <c r="H9" t="inlineStr">
        <is>
          <t>Measured us/copy</t>
        </is>
      </c>
      <c r="I9" t="inlineStr">
        <is>
          <t>Error %</t>
        </is>
      </c>
      <c r="J9" t="inlineStr">
        <is>
          <t>Kernel iters</t>
        </is>
      </c>
      <c r="K9" t="inlineStr">
        <is>
          <t>Trials</t>
        </is>
      </c>
      <c r="L9" t="inlineStr">
        <is>
          <t>Std us</t>
        </is>
      </c>
    </row>
    <row r="10">
      <c r="A10" t="inlineStr">
        <is>
          <t>far</t>
        </is>
      </c>
      <c r="B10" t="inlineStr">
        <is>
          <t>batched</t>
        </is>
      </c>
      <c r="C10">
        <v>32</v>
      </c>
      <c r="D10">
        <v>8</v>
      </c>
      <c r="E10">
        <v>29</v>
      </c>
      <c r="F10">
        <v>82.072</v>
      </c>
      <c r="G10">
        <f>(C10*2048/F10+ROUNDUP(C10/D10,0)*((E10*$B$5+4*$B$6)*1000/$B$3+$B$4))/1000</f>
        <v>1.7620053933431294</v>
      </c>
      <c r="H10">
        <v>1.80195</v>
      </c>
      <c r="I10">
        <f>(G10/H10-1)*100</f>
        <v>-2.2167433423164074</v>
      </c>
      <c r="J10">
        <v>100</v>
      </c>
      <c r="K10">
        <v>3</v>
      </c>
      <c r="L10">
        <v>2.6246692913348833e-05</v>
      </c>
    </row>
    <row r="11">
      <c r="A11" t="inlineStr">
        <is>
          <t>far</t>
        </is>
      </c>
      <c r="B11" t="inlineStr">
        <is>
          <t>serialized</t>
        </is>
      </c>
      <c r="C11">
        <v>32</v>
      </c>
      <c r="D11">
        <v>1</v>
      </c>
      <c r="E11">
        <v>29</v>
      </c>
      <c r="F11">
        <v>82.072</v>
      </c>
      <c r="G11">
        <f>(C11*2048/F11+ROUNDUP(C11/D11,0)*((E11*$B$5+4*$B$6)*1000/$B$3+$B$4))/1000</f>
        <v>8.506414527971277</v>
      </c>
      <c r="H11">
        <v>8.58924</v>
      </c>
      <c r="I11">
        <f>(G11/H11-1)*100</f>
        <v>-0.9642933720413249</v>
      </c>
      <c r="J11">
        <v>100</v>
      </c>
      <c r="K11">
        <v>3</v>
      </c>
      <c r="L11">
        <v>2.1602468995164405e-05</v>
      </c>
    </row>
    <row r="12">
      <c r="A12" t="inlineStr">
        <is>
          <t>far</t>
        </is>
      </c>
      <c r="B12" t="inlineStr">
        <is>
          <t>batched</t>
        </is>
      </c>
      <c r="C12">
        <v>128</v>
      </c>
      <c r="D12">
        <v>8</v>
      </c>
      <c r="E12">
        <v>29</v>
      </c>
      <c r="F12">
        <v>82.072</v>
      </c>
      <c r="G12">
        <f>(C12*2048/F12+ROUNDUP(C12/D12,0)*((E12*$B$5+4*$B$6)*1000/$B$3+$B$4))/1000</f>
        <v>7.048021573372518</v>
      </c>
      <c r="H12">
        <v>7.17984</v>
      </c>
      <c r="I12">
        <f>(G12/H12-1)*100</f>
        <v>-1.835952146948705</v>
      </c>
      <c r="J12">
        <v>100</v>
      </c>
      <c r="K12">
        <v>3</v>
      </c>
      <c r="L12">
        <v>0.00021545816814941713</v>
      </c>
    </row>
    <row r="13">
      <c r="A13" t="inlineStr">
        <is>
          <t>far</t>
        </is>
      </c>
      <c r="B13" t="inlineStr">
        <is>
          <t>serialized</t>
        </is>
      </c>
      <c r="C13">
        <v>128</v>
      </c>
      <c r="D13">
        <v>1</v>
      </c>
      <c r="E13">
        <v>29</v>
      </c>
      <c r="F13">
        <v>82.072</v>
      </c>
      <c r="G13">
        <f>(C13*2048/F13+ROUNDUP(C13/D13,0)*((E13*$B$5+4*$B$6)*1000/$B$3+$B$4))/1000</f>
        <v>34.02565811188511</v>
      </c>
      <c r="H13">
        <v>34.33147</v>
      </c>
      <c r="I13">
        <f>(G13/H13-1)*100</f>
        <v>-0.8907625805562369</v>
      </c>
      <c r="J13">
        <v>100</v>
      </c>
      <c r="K13">
        <v>3</v>
      </c>
      <c r="L13">
        <v>4.714045208870695e-06</v>
      </c>
    </row>
    <row r="14">
      <c r="A14" t="inlineStr">
        <is>
          <t>near</t>
        </is>
      </c>
      <c r="B14" t="inlineStr">
        <is>
          <t>batched</t>
        </is>
      </c>
      <c r="C14">
        <v>32</v>
      </c>
      <c r="D14">
        <v>8</v>
      </c>
      <c r="E14">
        <v>17</v>
      </c>
      <c r="F14">
        <v>82.37</v>
      </c>
      <c r="G14">
        <f>(C14*2048/F14+ROUNDUP(C14/D14,0)*((E14*$B$5+4*$B$6)*1000/$B$3+$B$4))/1000</f>
        <v>1.439116495983837</v>
      </c>
      <c r="H14">
        <v>1.4792100000000001</v>
      </c>
      <c r="I14">
        <f>(G14/H14-1)*100</f>
        <v>-2.710467345147949</v>
      </c>
      <c r="J14">
        <v>100</v>
      </c>
      <c r="K14">
        <v>3</v>
      </c>
      <c r="L14">
        <v>0.000613858470840171</v>
      </c>
    </row>
    <row r="15">
      <c r="A15" t="inlineStr">
        <is>
          <t>near</t>
        </is>
      </c>
      <c r="B15" t="inlineStr">
        <is>
          <t>serialized</t>
        </is>
      </c>
      <c r="C15">
        <v>32</v>
      </c>
      <c r="D15">
        <v>1</v>
      </c>
      <c r="E15">
        <v>17</v>
      </c>
      <c r="F15">
        <v>82.37</v>
      </c>
      <c r="G15">
        <f>(C15*2048/F15+ROUNDUP(C15/D15,0)*((E15*$B$5+4*$B$6)*1000/$B$3+$B$4))/1000</f>
        <v>5.943525630611985</v>
      </c>
      <c r="H15">
        <v>5.93442</v>
      </c>
      <c r="I15">
        <f>(G15/H15-1)*100</f>
        <v>0.15343758298174137</v>
      </c>
      <c r="J15">
        <v>100</v>
      </c>
      <c r="K15">
        <v>3</v>
      </c>
      <c r="L15">
        <v>0.0</v>
      </c>
    </row>
    <row r="16">
      <c r="A16" t="inlineStr">
        <is>
          <t>near</t>
        </is>
      </c>
      <c r="B16" t="inlineStr">
        <is>
          <t>batched</t>
        </is>
      </c>
      <c r="C16">
        <v>128</v>
      </c>
      <c r="D16">
        <v>8</v>
      </c>
      <c r="E16">
        <v>17</v>
      </c>
      <c r="F16">
        <v>82.37</v>
      </c>
      <c r="G16">
        <f>(C16*2048/F16+ROUNDUP(C16/D16,0)*((E16*$B$5+4*$B$6)*1000/$B$3+$B$4))/1000</f>
        <v>5.756465983935348</v>
      </c>
      <c r="H16">
        <v>5.8886400000000005</v>
      </c>
      <c r="I16">
        <f>(G16/H16-1)*100</f>
        <v>-2.244559288131931</v>
      </c>
      <c r="J16">
        <v>100</v>
      </c>
      <c r="K16">
        <v>3</v>
      </c>
      <c r="L16">
        <v>0.0015216073372881812</v>
      </c>
    </row>
    <row r="17">
      <c r="A17" t="inlineStr">
        <is>
          <t>near</t>
        </is>
      </c>
      <c r="B17" t="inlineStr">
        <is>
          <t>serialized</t>
        </is>
      </c>
      <c r="C17">
        <v>128</v>
      </c>
      <c r="D17">
        <v>1</v>
      </c>
      <c r="E17">
        <v>17</v>
      </c>
      <c r="F17">
        <v>82.37</v>
      </c>
      <c r="G17">
        <f>(C17*2048/F17+ROUNDUP(C17/D17,0)*((E17*$B$5+4*$B$6)*1000/$B$3+$B$4))/1000</f>
        <v>23.77410252244794</v>
      </c>
      <c r="H17">
        <v>23.7122</v>
      </c>
      <c r="I17">
        <f>(G17/H17-1)*100</f>
        <v>0.26105769371016496</v>
      </c>
      <c r="J17">
        <v>100</v>
      </c>
      <c r="K17">
        <v>3</v>
      </c>
      <c r="L17">
        <v>4.714045207841718e-05</v>
      </c>
    </row>
    <row r="20">
      <c r="A20" t="inlineStr">
        <is>
          <t>Scope</t>
        </is>
      </c>
      <c r="B20" t="inlineStr">
        <is>
          <t>Batched model assumes independent requests overlap within each group; omits issue-rate limits and contention. Not a universal formula for arbitrary algorithms.</t>
        </is>
      </c>
    </row>
    <row r="21">
      <c r="A21" t="inlineStr">
        <is>
          <t>Placement</t>
        </is>
      </c>
      <c r="B21" t="inlineStr">
        <is>
          <t>Reader logical (1,0). Near source (0,0); far source (10,9). Physical routes verified on this specific p150b.</t>
        </is>
      </c>
    </row>
    <row r="22">
      <c r="A22" t="inlineStr">
        <is>
          <t>Validation</t>
        </is>
      </c>
      <c r="B22" t="inlineStr">
        <is>
          <t>Near/far 32 and 128 pages, both variants; also 35 pages with batch=8 and kernel-iters=1 to exercise final partial batch.</t>
        </is>
      </c>
    </row>
    <row r="23">
      <c r="A23" t="inlineStr">
        <is>
          <t>Run</t>
        </is>
      </c>
      <c r="B23" t="inlineStr">
        <is>
          <t>python -m ttnn.operations.examples.l1_copy_batching --placement near --pages 32 128 --batch-pages 8 --kernel-iters 100</t>
        </is>
      </c>
    </row>
    <row r="24">
      <c r="A24" t="inlineStr">
        <is>
          <t>Files</t>
        </is>
      </c>
      <c r="B24" t="inlineStr">
        <is>
          <t>ttnn/ttnn/operations/examples/l1_copy_batching/: inline kernel, CLI, README.md, report.md; tests/ttnn/unit_tests/operations/examples/test_l1_copy_batching.py</t>
        </is>
      </c>
    </row>
    <row r="25">
      <c r="A25" t="inlineStr">
        <is>
          <t>Portability</t>
        </is>
      </c>
      <c r="B25" t="inlineStr">
        <is>
          <t>Results and formulas are embedded; running the example on another machine requires copying the example and test source files into its tt-metal checkout.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cols>
    <col min="1" max="12" width="24" customWidth="1"/>
  </cols>
  <sheetData>
    <row r="1">
      <c r="A1" t="inlineStr">
        <is>
          <t>Concurrent DRAM reads — BH p150b, 2026-10-20</t>
        </is>
      </c>
    </row>
    <row r="2">
      <c r="A2" t="inlineStr">
        <is>
          <t>Setup</t>
        </is>
      </c>
      <c r="B2" t="inlineStr">
        <is>
          <t>11x10 usable workers; 8 DRAM banks; NoC0; row-major core prefix; disjoint DRAM input, per-core L1 output</t>
        </is>
      </c>
    </row>
    <row r="3">
      <c r="A3" t="inlineStr">
        <is>
          <t>Aggregate bandwidth ceiling GB/s</t>
        </is>
      </c>
      <c r="B3">
        <v>512</v>
      </c>
    </row>
    <row r="4">
      <c r="A4" t="inlineStr">
        <is>
          <t>Metric</t>
        </is>
      </c>
      <c r="B4" t="inlineStr">
        <is>
          <t>Max per-core NCRISC duration / 100 repeats; median of 3 launches. Exact equality passed. Excludes launch skew.</t>
        </is>
      </c>
    </row>
    <row r="5">
      <c r="A5" t="inlineStr">
        <is>
          <t>Profiler caveat</t>
        </is>
      </c>
      <c r="B5" t="inlineStr">
        <is>
          <t>Absolute clocks differ across cores; standard global duration is invalid here. Same-core start/end deltas used.</t>
        </is>
      </c>
    </row>
    <row r="6">
      <c r="A6" t="inlineStr">
        <is>
          <t>Model</t>
        </is>
      </c>
      <c r="B6" t="inlineStr">
        <is>
          <t>max(single-core measured time, total bytes / aggregate bandwidth). Calibrated baseline plus bandwidth lower bound.</t>
        </is>
      </c>
    </row>
    <row r="7">
      <c r="A7" t="inlineStr">
        <is>
          <t>Limits</t>
        </is>
      </c>
      <c r="B7" t="inlineStr">
        <is>
          <t>Does not model per-bank/per-link queueing. Effective ~418 GB/s measured at saturation is workload-specific, not an independent prediction.</t>
        </is>
      </c>
    </row>
    <row r="9">
      <c r="A9" t="inlineStr">
        <is>
          <t>Variant</t>
        </is>
      </c>
      <c r="B9" t="inlineStr">
        <is>
          <t>Cores</t>
        </is>
      </c>
      <c r="C9" t="inlineStr">
        <is>
          <t>Pages/core</t>
        </is>
      </c>
      <c r="D9" t="inlineStr">
        <is>
          <t>Batch</t>
        </is>
      </c>
      <c r="E9" t="inlineStr">
        <is>
          <t>Bytes/core</t>
        </is>
      </c>
      <c r="F9" t="inlineStr">
        <is>
          <t>Uncontended us</t>
        </is>
      </c>
      <c r="G9" t="inlineStr">
        <is>
          <t>BW bound us</t>
        </is>
      </c>
      <c r="H9" t="inlineStr">
        <is>
          <t>Measured us</t>
        </is>
      </c>
      <c r="I9" t="inlineStr">
        <is>
          <t>Error %</t>
        </is>
      </c>
      <c r="J9" t="inlineStr">
        <is>
          <t>Aggregate GB/s</t>
        </is>
      </c>
      <c r="K9" t="inlineStr">
        <is>
          <t>Slowdown</t>
        </is>
      </c>
      <c r="L9" t="inlineStr">
        <is>
          <t>Std us</t>
        </is>
      </c>
    </row>
    <row r="10">
      <c r="A10" t="inlineStr">
        <is>
          <t>aligned</t>
        </is>
      </c>
      <c r="B10">
        <v>1</v>
      </c>
      <c r="C10">
        <v>32</v>
      </c>
      <c r="D10">
        <v>8</v>
      </c>
      <c r="E10">
        <f>C10*2048</f>
        <v>65536</v>
      </c>
      <c r="F10">
        <f>H10</f>
        <v>2.3308592592592596</v>
      </c>
      <c r="G10">
        <f>MAX(F10,B10*E10/($B$3*1000))</f>
        <v>2.3308592592592596</v>
      </c>
      <c r="H10">
        <v>2.3308592592592596</v>
      </c>
      <c r="I10">
        <f>(G10/H10-1)*100</f>
        <v>0.0</v>
      </c>
      <c r="J10">
        <f>B10*E10/(H10*1000)</f>
        <v>28.11666973870707</v>
      </c>
      <c r="K10">
        <f>H10/F10</f>
        <v>1.0</v>
      </c>
      <c r="L10">
        <v>0.002810342993243635</v>
      </c>
    </row>
    <row r="11">
      <c r="A11" t="inlineStr">
        <is>
          <t>aligned</t>
        </is>
      </c>
      <c r="B11">
        <v>8</v>
      </c>
      <c r="C11">
        <v>32</v>
      </c>
      <c r="D11">
        <v>8</v>
      </c>
      <c r="E11">
        <f>C11*2048</f>
        <v>65536</v>
      </c>
      <c r="F11">
        <f>H10</f>
        <v>2.3308592592592596</v>
      </c>
      <c r="G11">
        <f>MAX(F11,B11*E11/($B$3*1000))</f>
        <v>2.3308592592592596</v>
      </c>
      <c r="H11">
        <v>2.3857333333333335</v>
      </c>
      <c r="I11">
        <f>(G11/H11-1)*100</f>
        <v>-2.300092525320263</v>
      </c>
      <c r="J11">
        <f>B11*E11/(H11*1000)</f>
        <v>219.75968255742467</v>
      </c>
      <c r="K11">
        <f>H11/F11</f>
        <v>1.0235424227593704</v>
      </c>
      <c r="L11">
        <v>0.0064954483260165384</v>
      </c>
    </row>
    <row r="12">
      <c r="A12" t="inlineStr">
        <is>
          <t>aligned</t>
        </is>
      </c>
      <c r="B12">
        <v>32</v>
      </c>
      <c r="C12">
        <v>32</v>
      </c>
      <c r="D12">
        <v>8</v>
      </c>
      <c r="E12">
        <f>C12*2048</f>
        <v>65536</v>
      </c>
      <c r="F12">
        <f>H10</f>
        <v>2.3308592592592596</v>
      </c>
      <c r="G12">
        <f>MAX(F12,B12*E12/($B$3*1000))</f>
        <v>4.096</v>
      </c>
      <c r="H12">
        <v>5.154111111111112</v>
      </c>
      <c r="I12">
        <f>(G12/H12-1)*100</f>
        <v>-20.529458684545244</v>
      </c>
      <c r="J12">
        <f>B12*E12/(H12*1000)</f>
        <v>406.88917153512836</v>
      </c>
      <c r="K12">
        <f>H12/F12</f>
        <v>2.2112493882402293</v>
      </c>
      <c r="L12">
        <v>0.025848411104997186</v>
      </c>
    </row>
    <row r="13">
      <c r="A13" t="inlineStr">
        <is>
          <t>aligned</t>
        </is>
      </c>
      <c r="B13">
        <v>64</v>
      </c>
      <c r="C13">
        <v>32</v>
      </c>
      <c r="D13">
        <v>8</v>
      </c>
      <c r="E13">
        <f>C13*2048</f>
        <v>65536</v>
      </c>
      <c r="F13">
        <f>H10</f>
        <v>2.3308592592592596</v>
      </c>
      <c r="G13">
        <f>MAX(F13,B13*E13/($B$3*1000))</f>
        <v>8.192</v>
      </c>
      <c r="H13">
        <v>10.172585185185186</v>
      </c>
      <c r="I13">
        <f>(G13/H13-1)*100</f>
        <v>-19.46983140597933</v>
      </c>
      <c r="J13">
        <f>B13*E13/(H13*1000)</f>
        <v>412.3144632013858</v>
      </c>
      <c r="K13">
        <f>H13/F13</f>
        <v>4.364306915904483</v>
      </c>
      <c r="L13">
        <v>0.004036691947345561</v>
      </c>
    </row>
    <row r="14">
      <c r="A14" t="inlineStr">
        <is>
          <t>aligned</t>
        </is>
      </c>
      <c r="B14">
        <v>110</v>
      </c>
      <c r="C14">
        <v>32</v>
      </c>
      <c r="D14">
        <v>8</v>
      </c>
      <c r="E14">
        <f>C14*2048</f>
        <v>65536</v>
      </c>
      <c r="F14">
        <f>H10</f>
        <v>2.3308592592592596</v>
      </c>
      <c r="G14">
        <f>MAX(F14,B14*E14/($B$3*1000))</f>
        <v>14.08</v>
      </c>
      <c r="H14">
        <v>17.231125925925923</v>
      </c>
      <c r="I14">
        <f>(G14/H14-1)*100</f>
        <v>-18.287405822882096</v>
      </c>
      <c r="J14">
        <f>B14*E14/(H14*1000)</f>
        <v>418.36848218684366</v>
      </c>
      <c r="K14">
        <f>H14/F14</f>
        <v>7.39260676399738</v>
      </c>
      <c r="L14">
        <v>0.01265092709682004</v>
      </c>
    </row>
    <row r="15">
      <c r="A15" t="inlineStr">
        <is>
          <t>aligned</t>
        </is>
      </c>
      <c r="B15">
        <v>1</v>
      </c>
      <c r="C15">
        <v>128</v>
      </c>
      <c r="D15">
        <v>8</v>
      </c>
      <c r="E15">
        <f>C15*2048</f>
        <v>262144</v>
      </c>
      <c r="F15">
        <f>H15</f>
        <v>9.355666666666666</v>
      </c>
      <c r="G15">
        <f>MAX(F15,B15*E15/($B$3*1000))</f>
        <v>9.355666666666666</v>
      </c>
      <c r="H15">
        <v>9.355666666666666</v>
      </c>
      <c r="I15">
        <f>(G15/H15-1)*100</f>
        <v>0.0</v>
      </c>
      <c r="J15">
        <f>B15*E15/(H15*1000)</f>
        <v>28.01980974097695</v>
      </c>
      <c r="K15">
        <f>H15/F15</f>
        <v>1.0</v>
      </c>
      <c r="L15">
        <v>0.003995804841690318</v>
      </c>
    </row>
    <row r="16">
      <c r="A16" t="inlineStr">
        <is>
          <t>aligned</t>
        </is>
      </c>
      <c r="B16">
        <v>8</v>
      </c>
      <c r="C16">
        <v>128</v>
      </c>
      <c r="D16">
        <v>8</v>
      </c>
      <c r="E16">
        <f>C16*2048</f>
        <v>262144</v>
      </c>
      <c r="F16">
        <f>H15</f>
        <v>9.355666666666666</v>
      </c>
      <c r="G16">
        <f>MAX(F16,B16*E16/($B$3*1000))</f>
        <v>9.355666666666666</v>
      </c>
      <c r="H16">
        <v>9.554659259259259</v>
      </c>
      <c r="I16">
        <f>(G16/H16-1)*100</f>
        <v>-2.0826759719322574</v>
      </c>
      <c r="J16">
        <f>B16*E16/(H16*1000)</f>
        <v>219.48998316896393</v>
      </c>
      <c r="K16">
        <f>H16/F16</f>
        <v>1.0212697394726111</v>
      </c>
      <c r="L16">
        <v>0.08553096163710178</v>
      </c>
    </row>
    <row r="17">
      <c r="A17" t="inlineStr">
        <is>
          <t>aligned</t>
        </is>
      </c>
      <c r="B17">
        <v>32</v>
      </c>
      <c r="C17">
        <v>128</v>
      </c>
      <c r="D17">
        <v>8</v>
      </c>
      <c r="E17">
        <f>C17*2048</f>
        <v>262144</v>
      </c>
      <c r="F17">
        <f>H15</f>
        <v>9.355666666666666</v>
      </c>
      <c r="G17">
        <f>MAX(F17,B17*E17/($B$3*1000))</f>
        <v>16.384</v>
      </c>
      <c r="H17">
        <v>20.47574814814815</v>
      </c>
      <c r="I17">
        <f>(G17/H17-1)*100</f>
        <v>-19.983387754836258</v>
      </c>
      <c r="J17">
        <f>B17*E17/(H17*1000)</f>
        <v>409.68505469523836</v>
      </c>
      <c r="K17">
        <f>H17/F17</f>
        <v>2.188593167935456</v>
      </c>
      <c r="L17">
        <v>0.032860524602056566</v>
      </c>
    </row>
    <row r="18">
      <c r="A18" t="inlineStr">
        <is>
          <t>aligned</t>
        </is>
      </c>
      <c r="B18">
        <v>64</v>
      </c>
      <c r="C18">
        <v>128</v>
      </c>
      <c r="D18">
        <v>8</v>
      </c>
      <c r="E18">
        <f>C18*2048</f>
        <v>262144</v>
      </c>
      <c r="F18">
        <f>H15</f>
        <v>9.355666666666666</v>
      </c>
      <c r="G18">
        <f>MAX(F18,B18*E18/($B$3*1000))</f>
        <v>32.768</v>
      </c>
      <c r="H18">
        <v>40.6621037037037</v>
      </c>
      <c r="I18">
        <f>(G18/H18-1)*100</f>
        <v>-19.413908737300943</v>
      </c>
      <c r="J18">
        <f>B18*E18/(H18*1000)</f>
        <v>412.60078726501916</v>
      </c>
      <c r="K18">
        <f>H18/F18</f>
        <v>4.346254003317458</v>
      </c>
      <c r="L18">
        <v>0.05813174773303958</v>
      </c>
    </row>
    <row r="19">
      <c r="A19" t="inlineStr">
        <is>
          <t>aligned</t>
        </is>
      </c>
      <c r="B19">
        <v>110</v>
      </c>
      <c r="C19">
        <v>128</v>
      </c>
      <c r="D19">
        <v>8</v>
      </c>
      <c r="E19">
        <f>C19*2048</f>
        <v>262144</v>
      </c>
      <c r="F19">
        <f>H15</f>
        <v>9.355666666666666</v>
      </c>
      <c r="G19">
        <f>MAX(F19,B19*E19/($B$3*1000))</f>
        <v>56.32</v>
      </c>
      <c r="H19">
        <v>68.98725925925928</v>
      </c>
      <c r="I19">
        <f>(G19/H19-1)*100</f>
        <v>-18.361737218251793</v>
      </c>
      <c r="J19">
        <f>B19*E19/(H19*1000)</f>
        <v>417.9879054425508</v>
      </c>
      <c r="K19">
        <f>H19/F19</f>
        <v>7.373847499831753</v>
      </c>
      <c r="L19">
        <v>0.02407168864408689</v>
      </c>
    </row>
    <row r="20">
      <c r="A20" t="inlineStr">
        <is>
          <t>staggered</t>
        </is>
      </c>
      <c r="B20">
        <v>1</v>
      </c>
      <c r="C20">
        <v>32</v>
      </c>
      <c r="D20">
        <v>8</v>
      </c>
      <c r="E20">
        <f>C20*2048</f>
        <v>65536</v>
      </c>
      <c r="F20">
        <f>H20</f>
        <v>2.3236074074074073</v>
      </c>
      <c r="G20">
        <f>MAX(F20,B20*E20/($B$3*1000))</f>
        <v>2.3236074074074073</v>
      </c>
      <c r="H20">
        <v>2.3236074074074073</v>
      </c>
      <c r="I20">
        <f>(G20/H20-1)*100</f>
        <v>0.0</v>
      </c>
      <c r="J20">
        <f>B20*E20/(H20*1000)</f>
        <v>28.204420329819218</v>
      </c>
      <c r="K20">
        <f>H20/F20</f>
        <v>1.0</v>
      </c>
      <c r="L20">
        <v>0.0032951614081847313</v>
      </c>
    </row>
    <row r="21">
      <c r="A21" t="inlineStr">
        <is>
          <t>staggered</t>
        </is>
      </c>
      <c r="B21">
        <v>8</v>
      </c>
      <c r="C21">
        <v>32</v>
      </c>
      <c r="D21">
        <v>8</v>
      </c>
      <c r="E21">
        <f>C21*2048</f>
        <v>65536</v>
      </c>
      <c r="F21">
        <f>H20</f>
        <v>2.3236074074074073</v>
      </c>
      <c r="G21">
        <f>MAX(F21,B21*E21/($B$3*1000))</f>
        <v>2.3236074074074073</v>
      </c>
      <c r="H21">
        <v>2.4082</v>
      </c>
      <c r="I21">
        <f>(G21/H21-1)*100</f>
        <v>-3.5126896683245867</v>
      </c>
      <c r="J21">
        <f>B21*E21/(H21*1000)</f>
        <v>217.70949256706254</v>
      </c>
      <c r="K21">
        <f>H21/F21</f>
        <v>1.0364057165263463</v>
      </c>
      <c r="L21">
        <v>0.01660315397269991</v>
      </c>
    </row>
    <row r="22">
      <c r="A22" t="inlineStr">
        <is>
          <t>staggered</t>
        </is>
      </c>
      <c r="B22">
        <v>32</v>
      </c>
      <c r="C22">
        <v>32</v>
      </c>
      <c r="D22">
        <v>8</v>
      </c>
      <c r="E22">
        <f>C22*2048</f>
        <v>65536</v>
      </c>
      <c r="F22">
        <f>H20</f>
        <v>2.3236074074074073</v>
      </c>
      <c r="G22">
        <f>MAX(F22,B22*E22/($B$3*1000))</f>
        <v>4.096</v>
      </c>
      <c r="H22">
        <v>5.172407407407407</v>
      </c>
      <c r="I22">
        <f>(G22/H22-1)*100</f>
        <v>-20.81056890193691</v>
      </c>
      <c r="J22">
        <f>B22*E22/(H22*1000)</f>
        <v>405.449887222083</v>
      </c>
      <c r="K22">
        <f>H22/F22</f>
        <v>2.2260246679014433</v>
      </c>
      <c r="L22">
        <v>0.01829126869828604</v>
      </c>
    </row>
    <row r="23">
      <c r="A23" t="inlineStr">
        <is>
          <t>staggered</t>
        </is>
      </c>
      <c r="B23">
        <v>64</v>
      </c>
      <c r="C23">
        <v>32</v>
      </c>
      <c r="D23">
        <v>8</v>
      </c>
      <c r="E23">
        <f>C23*2048</f>
        <v>65536</v>
      </c>
      <c r="F23">
        <f>H20</f>
        <v>2.3236074074074073</v>
      </c>
      <c r="G23">
        <f>MAX(F23,B23*E23/($B$3*1000))</f>
        <v>8.192</v>
      </c>
      <c r="H23">
        <v>10.19225925925926</v>
      </c>
      <c r="I23">
        <f>(G23/H23-1)*100</f>
        <v>-19.625278442972338</v>
      </c>
      <c r="J23">
        <f>B23*E23/(H23*1000)</f>
        <v>411.51857437198163</v>
      </c>
      <c r="K23">
        <f>H23/F23</f>
        <v>4.386394718302002</v>
      </c>
      <c r="L23">
        <v>0.007072077368866377</v>
      </c>
    </row>
    <row r="24">
      <c r="A24" t="inlineStr">
        <is>
          <t>staggered</t>
        </is>
      </c>
      <c r="B24">
        <v>110</v>
      </c>
      <c r="C24">
        <v>32</v>
      </c>
      <c r="D24">
        <v>8</v>
      </c>
      <c r="E24">
        <f>C24*2048</f>
        <v>65536</v>
      </c>
      <c r="F24">
        <f>H20</f>
        <v>2.3236074074074073</v>
      </c>
      <c r="G24">
        <f>MAX(F24,B24*E24/($B$3*1000))</f>
        <v>14.08</v>
      </c>
      <c r="H24">
        <v>17.28951111111111</v>
      </c>
      <c r="I24">
        <f>(G24/H24-1)*100</f>
        <v>-18.563342193340084</v>
      </c>
      <c r="J24">
        <f>B24*E24/(H24*1000)</f>
        <v>416.9556879700988</v>
      </c>
      <c r="K24">
        <f>H24/F24</f>
        <v>7.440805643842429</v>
      </c>
      <c r="L24">
        <v>0.006367777250000476</v>
      </c>
    </row>
    <row r="25">
      <c r="A25" t="inlineStr">
        <is>
          <t>staggered</t>
        </is>
      </c>
      <c r="B25">
        <v>1</v>
      </c>
      <c r="C25">
        <v>128</v>
      </c>
      <c r="D25">
        <v>8</v>
      </c>
      <c r="E25">
        <f>C25*2048</f>
        <v>262144</v>
      </c>
      <c r="F25">
        <f>H25</f>
        <v>9.354881481481481</v>
      </c>
      <c r="G25">
        <f>MAX(F25,B25*E25/($B$3*1000))</f>
        <v>9.354881481481481</v>
      </c>
      <c r="H25">
        <v>9.354881481481481</v>
      </c>
      <c r="I25">
        <f>(G25/H25-1)*100</f>
        <v>0.0</v>
      </c>
      <c r="J25">
        <f>B25*E25/(H25*1000)</f>
        <v>28.022161533412145</v>
      </c>
      <c r="K25">
        <f>H25/F25</f>
        <v>1.0</v>
      </c>
      <c r="L25">
        <v>0.0015836190871542132</v>
      </c>
    </row>
    <row r="26">
      <c r="A26" t="inlineStr">
        <is>
          <t>staggered</t>
        </is>
      </c>
      <c r="B26">
        <v>8</v>
      </c>
      <c r="C26">
        <v>128</v>
      </c>
      <c r="D26">
        <v>8</v>
      </c>
      <c r="E26">
        <f>C26*2048</f>
        <v>262144</v>
      </c>
      <c r="F26">
        <f>H25</f>
        <v>9.354881481481481</v>
      </c>
      <c r="G26">
        <f>MAX(F26,B26*E26/($B$3*1000))</f>
        <v>9.354881481481481</v>
      </c>
      <c r="H26">
        <v>9.680074074074074</v>
      </c>
      <c r="I26">
        <f>(G26/H26-1)*100</f>
        <v>-3.3594019023423516</v>
      </c>
      <c r="J26">
        <f>B26*E26/(H26*1000)</f>
        <v>216.64627604625002</v>
      </c>
      <c r="K26">
        <f>H26/F26</f>
        <v>1.0347618078578902</v>
      </c>
      <c r="L26">
        <v>0.004626945724095751</v>
      </c>
    </row>
    <row r="27">
      <c r="A27" t="inlineStr">
        <is>
          <t>staggered</t>
        </is>
      </c>
      <c r="B27">
        <v>32</v>
      </c>
      <c r="C27">
        <v>128</v>
      </c>
      <c r="D27">
        <v>8</v>
      </c>
      <c r="E27">
        <f>C27*2048</f>
        <v>262144</v>
      </c>
      <c r="F27">
        <f>H25</f>
        <v>9.354881481481481</v>
      </c>
      <c r="G27">
        <f>MAX(F27,B27*E27/($B$3*1000))</f>
        <v>16.384</v>
      </c>
      <c r="H27">
        <v>20.724140740740744</v>
      </c>
      <c r="I27">
        <f>(G27/H27-1)*100</f>
        <v>-20.94244000287373</v>
      </c>
      <c r="J27">
        <f>B27*E27/(H27*1000)</f>
        <v>404.7747071852865</v>
      </c>
      <c r="K27">
        <f>H27/F27</f>
        <v>2.215329053795642</v>
      </c>
      <c r="L27">
        <v>0.022200167656737296</v>
      </c>
    </row>
    <row r="28">
      <c r="A28" t="inlineStr">
        <is>
          <t>staggered</t>
        </is>
      </c>
      <c r="B28">
        <v>64</v>
      </c>
      <c r="C28">
        <v>128</v>
      </c>
      <c r="D28">
        <v>8</v>
      </c>
      <c r="E28">
        <f>C28*2048</f>
        <v>262144</v>
      </c>
      <c r="F28">
        <f>H25</f>
        <v>9.354881481481481</v>
      </c>
      <c r="G28">
        <f>MAX(F28,B28*E28/($B$3*1000))</f>
        <v>32.768</v>
      </c>
      <c r="H28">
        <v>40.80813333333333</v>
      </c>
      <c r="I28">
        <f>(G28/H28-1)*100</f>
        <v>-19.702281571320746</v>
      </c>
      <c r="J28">
        <f>B28*E28/(H28*1000)</f>
        <v>411.1243183548378</v>
      </c>
      <c r="K28">
        <f>H28/F28</f>
        <v>4.362228790831327</v>
      </c>
      <c r="L28">
        <v>0.01928709100115127</v>
      </c>
    </row>
    <row r="29">
      <c r="A29" t="inlineStr">
        <is>
          <t>staggered</t>
        </is>
      </c>
      <c r="B29">
        <v>110</v>
      </c>
      <c r="C29">
        <v>128</v>
      </c>
      <c r="D29">
        <v>8</v>
      </c>
      <c r="E29">
        <f>C29*2048</f>
        <v>262144</v>
      </c>
      <c r="F29">
        <f>H25</f>
        <v>9.354881481481481</v>
      </c>
      <c r="G29">
        <f>MAX(F29,B29*E29/($B$3*1000))</f>
        <v>56.32</v>
      </c>
      <c r="H29">
        <v>69.16041481481481</v>
      </c>
      <c r="I29">
        <f>(G29/H29-1)*100</f>
        <v>-18.566133313683174</v>
      </c>
      <c r="J29">
        <f>B29*E29/(H29*1000)</f>
        <v>416.94139743394214</v>
      </c>
      <c r="K29">
        <f>H29/F29</f>
        <v>7.392976057657361</v>
      </c>
      <c r="L29">
        <v>0.032660246469304835</v>
      </c>
    </row>
    <row r="32">
      <c r="A32" t="inlineStr">
        <is>
          <t>Source</t>
        </is>
      </c>
      <c r="B32" t="inlineStr">
        <is>
          <t>ttnn/ttnn/operations/examples/dram_read_contention/; report.md, report.jsonl, inline kernel and CLI. Tests: test_dram_read_contention.py</t>
        </is>
      </c>
    </row>
  </sheetData>
</worksheet>
</file>

<file path=xl/worksheets/sheet7.xml><?xml version="1.0" encoding="utf-8"?>
<ns0:worksheet xmlns:ns0="http://schemas.openxmlformats.org/spreadsheetml/2006/main">
  <ns0:sheetViews>
    <ns0:sheetView workbookViewId="0"/>
  </ns0:sheetViews>
  <ns0:cols>
    <ns0:col min="1" max="17" width="23" customWidth="1"/>
  </ns0:cols>
  <ns0:sheetData>
    <ns0:row r="1">
      <ns0:c r="A1" t="inlineStr">
        <ns0:is>
          <ns0:t>BH DRAM + NoC queue model; live physical routes</ns0:t>
        </ns0:is>
      </ns0:c>
    </ns0:row>
    <ns0:row r="2">
      <ns0:c r="A2" t="inlineStr">
        <ns0:is>
          <ns0:t>Scope</ns0:t>
        </ns0:is>
      </ns0:c>
      <ns0:c r="B2" t="inlineStr">
        <ns0:is>
          <ns0:t>110 usable cores; NoC0; 2048-byte pages; eight reads/barrier. Replay uses 8 iterations; measurements use 100.</ns0:t>
        </ns0:is>
      </ns0:c>
    </ns0:row>
    <ns0:row r="3">
      <ns0:c r="A3" t="inlineStr">
        <ns0:is>
          <ns0:t>Clock MHz</ns0:t>
        </ns0:is>
      </ns0:c>
      <ns0:c r="B3">
        <ns0:v>1350</ns0:v>
      </ns0:c>
    </ns0:row>
    <ns0:row r="4">
      <ns0:c r="A4" t="inlineStr">
        <ns0:is>
          <ns0:t>DRAM read service cycles</ns0:t>
        </ns0:is>
      </ns0:c>
      <ns0:c r="B4">
        <ns0:v>126</ns0:v>
      </ns0:c>
    </ns0:row>
    <ns0:row r="5">
      <ns0:c r="A5" t="inlineStr">
        <ns0:is>
          <ns0:t>DRAM bytes/cycle</ns0:t>
        </ns0:is>
      </ns0:c>
      <ns0:c r="B5">
        <ns0:v>47.0805</ns0:v>
      </ns0:c>
    </ns0:row>
    <ns0:row r="6">
      <ns0:c r="A6" t="inlineStr">
        <ns0:is>
          <ns0:t>Router cycles/hop</ns0:t>
        </ns0:is>
      </ns0:c>
      <ns0:c r="B6">
        <ns0:v>9</ns0:v>
      </ns0:c>
    </ns0:row>
    <ns0:row r="7">
      <ns0:c r="A7" t="inlineStr">
        <ns0:is>
          <ns0:t>NIU crossing cycles</ns0:t>
        </ns0:is>
      </ns0:c>
      <ns0:c r="B7">
        <ns0:v>5</ns0:v>
      </ns0:c>
    </ns0:row>
    <ns0:row r="8">
      <ns0:c r="A8" t="inlineStr">
        <ns0:is>
          <ns0:t>Header flits per packet</ns0:t>
        </ns0:is>
      </ns0:c>
      <ns0:c r="B8">
        <ns0:v>1</ns0:v>
      </ns0:c>
    </ns0:row>
    <ns0:row r="9">
      <ns0:c r="A9" t="inlineStr">
        <ns0:is>
          <ns0:t>Flit bytes</ns0:t>
        </ns0:is>
      </ns0:c>
      <ns0:c r="B9">
        <ns0:v>64</ns0:v>
      </ns0:c>
    </ns0:row>
    <ns0:row r="10">
      <ns0:c r="A10" t="inlineStr">
        <ns0:is>
          <ns0:t>Important</ns0:t>
        </ns0:is>
      </ns0:c>
      <ns0:c r="B10" t="inlineStr">
        <ns0:is>
          <ns0:t>Replay columns are snapshots at the parameters above. Parameter edits recalculate capacity bounds only; rerun queue_model.py for new queue predictions.</ns0:t>
        </ns0:is>
      </ns0:c>
    </ns0:row>
    <ns0:row r="11">
      <ns0:c r="A11" t="inlineStr">
        <ns0:is>
          <ns0:t>Model limitations</ns0:t>
        </ns0:is>
      </ns0:c>
      <ns0:c r="B11" t="inlineStr">
        <ns0:is>
          <ns0:t>FIFO packet reservations; unlimited buffering; ideal core issue. No RISC timing, VCs, backpressure, refresh or row state. Shared bank and link capacity modeled separately.</ns0:t>
        </ns0:is>
      </ns0:c>
    </ns0:row>
    <ns0:row r="12">
      <ns0:c r="A12" t="inlineStr">
        <ns0:is>
          <ns0:t>Provenance</ns0:t>
        </ns0:is>
      </ns0:c>
      <ns0:c r="B12" t="inlineStr">
        <ns0:is>
          <ns0:t>Wolfpine c0d2cb8842c5 derived 126 cycles =529-403 and 47.0805 B/cycle=4096/(665-578); ISA NoC 9/5 cycles and 64-byte flits. Headers included here.</ns0:t>
        </ns0:is>
      </ns0:c>
    </ns0:row>
    <ns0:row r="13">
      <ns0:c r="A13" t="inlineStr">
        <ns0:is>
          <ns0:t>Comparison</ns0:t>
        </ns0:is>
      </ns0:c>
      <ns0:c r="B13" t="inlineStr">
        <ns0:is>
          <ns0:t>ACTIVE: raw queue replay only. Issue spacing=0; batch residual=0; no measured single-core floor or fitted 418 GB/s. DRAM126cycles/47.0805B-per-cycle remain simulator-derived empirical inputs, not ISA constants.</ns0:t>
        </ns0:is>
      </ns0:c>
    </ns0:row>
    <ns0:row r="15">
      <ns0:c r="A15" t="inlineStr">
        <ns0:is>
          <ns0:t>Variant</ns0:t>
        </ns0:is>
      </ns0:c>
      <ns0:c r="B15" t="inlineStr">
        <ns0:is>
          <ns0:t>Cores</ns0:t>
        </ns0:is>
      </ns0:c>
      <ns0:c r="C15" t="inlineStr">
        <ns0:is>
          <ns0:t>Pages/core</ns0:t>
        </ns0:is>
      </ns0:c>
      <ns0:c r="D15" t="inlineStr">
        <ns0:is>
          <ns0:t>Batch</ns0:t>
        </ns0:is>
      </ns0:c>
      <ns0:c r="E15" t="inlineStr">
        <ns0:is>
          <ns0:t>Max bank reads</ns0:t>
        </ns0:is>
      </ns0:c>
      <ns0:c r="F15" t="inlineStr">
        <ns0:is>
          <ns0:t>Hot-link packets</ns0:t>
        </ns0:is>
      </ns0:c>
      <ns0:c r="G15" t="inlineStr">
        <ns0:is>
          <ns0:t>Hot-link data flits</ns0:t>
        </ns0:is>
      </ns0:c>
      <ns0:c r="H15" t="inlineStr">
        <ns0:is>
          <ns0:t>Bank bound us</ns0:t>
        </ns0:is>
      </ns0:c>
      <ns0:c r="I15" t="inlineStr">
        <ns0:is>
          <ns0:t>Link bound us</ns0:t>
        </ns0:is>
      </ns0:c>
      <ns0:c r="J15" t="inlineStr">
        <ns0:is>
          <ns0:t>Measured 1-core reference us</ns0:t>
        </ns0:is>
      </ns0:c>
      <ns0:c r="K15" t="inlineStr">
        <ns0:is>
          <ns0:t>Raw queue us</ns0:t>
        </ns0:is>
      </ns0:c>
      <ns0:c r="L15" t="inlineStr">
        <ns0:is>
          <ns0:t>Measured us</ns0:t>
        </ns0:is>
      </ns0:c>
      <ns0:c r="M15" t="inlineStr">
        <ns0:is>
          <ns0:t>Raw error %</ns0:t>
        </ns0:is>
      </ns0:c>
      <ns0:c r="N15" t="inlineStr">
        <ns0:is>
          <ns0:t>Active estimate us</ns0:t>
        </ns0:is>
      </ns0:c>
      <ns0:c r="O15" t="inlineStr">
        <ns0:is>
          <ns0:t>Active error %</ns0:t>
        </ns0:is>
      </ns0:c>
      <ns0:c r="P15" t="inlineStr">
        <ns0:is>
          <ns0:t>Hot physical link</ns0:t>
        </ns0:is>
      </ns0:c>
      <ns0:c r="Q15" t="inlineStr">
        <ns0:is>
          <ns0:t>ISA/simulator capacity bound us</ns0:t>
        </ns0:is>
      </ns0:c>
    </ns0:row>
    <ns0:row r="16">
      <ns0:c r="A16" t="inlineStr">
        <ns0:is>
          <ns0:t>aligned</ns0:t>
        </ns0:is>
      </ns0:c>
      <ns0:c r="B16">
        <ns0:v>1</ns0:v>
      </ns0:c>
      <ns0:c r="C16">
        <ns0:v>32</ns0:v>
      </ns0:c>
      <ns0:c r="D16">
        <ns0:v>8</ns0:v>
      </ns0:c>
      <ns0:c r="E16">
        <ns0:v>4</ns0:v>
      </ns0:c>
      <ns0:c r="F16">
        <ns0:v>28</ns0:v>
      </ns0:c>
      <ns0:c r="G16">
        <ns0:v>896</ns0:v>
      </ns0:c>
      <ns0:c r="H16">
        <ns0:f>E16*ROUNDUP(2048/$B$5,0)/$B$3</ns0:f>
        <ns0:v>0.13037037037037036</ns0:v>
      </ns0:c>
      <ns0:c r="I16">
        <ns0:f>(G16*64/$B$9+F16*$B$8)/$B$3</ns0:f>
        <ns0:v>0.6844444444444444</ns0:v>
      </ns0:c>
      <ns0:c r="J16">
        <ns0:v>2.3308592592592596</ns0:v>
      </ns0:c>
      <ns0:c r="K16">
        <ns0:v>1.92</ns0:v>
      </ns0:c>
      <ns0:c r="L16">
        <ns0:v>2.3308592592592596</ns0:v>
      </ns0:c>
      <ns0:c r="M16">
        <ns0:f>(K16/L16-1)*100</ns0:f>
        <ns0:v>-17.62694412488164</ns0:v>
      </ns0:c>
      <ns0:c r="N16">
        <ns0:f>K16</ns0:f>
        <ns0:v>1.92</ns0:v>
      </ns0:c>
      <ns0:c r="O16">
        <ns0:f>M16</ns0:f>
        <ns0:v>-17.62694412488164</ns0:v>
      </ns0:c>
      <ns0:c r="P16" t="inlineStr">
        <ns0:is>
          <ns0:t>[1, 11, 1, 0]</ns0:t>
        </ns0:is>
      </ns0:c>
      <ns0:c r="Q16">
        <ns0:f>MAX(H16,I16)</ns0:f>
        <ns0:v>0.6844444444444444</ns0:v>
      </ns0:c>
    </ns0:row>
    <ns0:row r="17">
      <ns0:c r="A17" t="inlineStr">
        <ns0:is>
          <ns0:t>aligned</ns0:t>
        </ns0:is>
      </ns0:c>
      <ns0:c r="B17">
        <ns0:v>8</ns0:v>
      </ns0:c>
      <ns0:c r="C17">
        <ns0:v>32</ns0:v>
      </ns0:c>
      <ns0:c r="D17">
        <ns0:v>8</ns0:v>
      </ns0:c>
      <ns0:c r="E17">
        <ns0:v>32</ns0:v>
      </ns0:c>
      <ns0:c r="F17">
        <ns0:v>56</ns0:v>
      </ns0:c>
      <ns0:c r="G17">
        <ns0:v>1792</ns0:v>
      </ns0:c>
      <ns0:c r="H17">
        <ns0:f>E17*ROUNDUP(2048/$B$5,0)/$B$3</ns0:f>
        <ns0:v>1.0429629629629629</ns0:v>
      </ns0:c>
      <ns0:c r="I17">
        <ns0:f>(G17*64/$B$9+F17*$B$8)/$B$3</ns0:f>
        <ns0:v>1.3688888888888888</ns0:v>
      </ns0:c>
      <ns0:c r="J17">
        <ns0:v>2.3308592592592596</ns0:v>
      </ns0:c>
      <ns0:c r="K17">
        <ns0:v>1.9570370370370371</ns0:v>
      </ns0:c>
      <ns0:c r="L17">
        <ns0:v>2.3857333333333335</ns0:v>
      </ns0:c>
      <ns0:c r="M17">
        <ns0:f>(K17/L17-1)*100</ns0:f>
        <ns0:v>-17.969162366412693</ns0:v>
      </ns0:c>
      <ns0:c r="N17">
        <ns0:f>K17</ns0:f>
        <ns0:v>1.9570370370370371</ns0:v>
      </ns0:c>
      <ns0:c r="O17">
        <ns0:f>M17</ns0:f>
        <ns0:v>-17.969162366412693</ns0:v>
      </ns0:c>
      <ns0:c r="P17" t="inlineStr">
        <ns0:is>
          <ns0:t>[0, 11, 1, 11]</ns0:t>
        </ns0:is>
      </ns0:c>
      <ns0:c r="Q17">
        <ns0:f>MAX(H17,I17)</ns0:f>
        <ns0:v>1.3688888888888888</ns0:v>
      </ns0:c>
    </ns0:row>
    <ns0:row r="18">
      <ns0:c r="A18" t="inlineStr">
        <ns0:is>
          <ns0:t>aligned</ns0:t>
        </ns0:is>
      </ns0:c>
      <ns0:c r="B18">
        <ns0:v>32</ns0:v>
      </ns0:c>
      <ns0:c r="C18">
        <ns0:v>32</ns0:v>
      </ns0:c>
      <ns0:c r="D18">
        <ns0:v>8</ns0:v>
      </ns0:c>
      <ns0:c r="E18">
        <ns0:v>128</ns0:v>
      </ns0:c>
      <ns0:c r="F18">
        <ns0:v>200</ns0:v>
      </ns0:c>
      <ns0:c r="G18">
        <ns0:v>6400</ns0:v>
      </ns0:c>
      <ns0:c r="H18">
        <ns0:f>E18*ROUNDUP(2048/$B$5,0)/$B$3</ns0:f>
        <ns0:v>4.1718518518518515</ns0:v>
      </ns0:c>
      <ns0:c r="I18">
        <ns0:f>(G18*64/$B$9+F18*$B$8)/$B$3</ns0:f>
        <ns0:v>4.888888888888889</ns0:v>
      </ns0:c>
      <ns0:c r="J18">
        <ns0:v>2.3308592592592596</ns0:v>
      </ns0:c>
      <ns0:c r="K18">
        <ns0:v>4.916018518518518</ns0:v>
      </ns0:c>
      <ns0:c r="L18">
        <ns0:v>5.154111111111112</ns0:v>
      </ns0:c>
      <ns0:c r="M18">
        <ns0:f>(K18/L18-1)*100</ns0:f>
        <ns0:v>-4.619469535286491</ns0:v>
      </ns0:c>
      <ns0:c r="N18">
        <ns0:f>K18</ns0:f>
        <ns0:v>4.916018518518518</ns0:v>
      </ns0:c>
      <ns0:c r="O18">
        <ns0:f>M18</ns0:f>
        <ns0:v>-4.619469535286491</ns0:v>
      </ns0:c>
      <ns0:c r="P18" t="inlineStr">
        <ns0:is>
          <ns0:t>[0, 11, 1, 11]</ns0:t>
        </ns0:is>
      </ns0:c>
      <ns0:c r="Q18">
        <ns0:f>MAX(H18,I18)</ns0:f>
        <ns0:v>4.888888888888889</ns0:v>
      </ns0:c>
    </ns0:row>
    <ns0:row r="19">
      <ns0:c r="A19" t="inlineStr">
        <ns0:is>
          <ns0:t>aligned</ns0:t>
        </ns0:is>
      </ns0:c>
      <ns0:c r="B19">
        <ns0:v>64</ns0:v>
      </ns0:c>
      <ns0:c r="C19">
        <ns0:v>32</ns0:v>
      </ns0:c>
      <ns0:c r="D19">
        <ns0:v>8</ns0:v>
      </ns0:c>
      <ns0:c r="E19">
        <ns0:v>256</ns0:v>
      </ns0:c>
      <ns0:c r="F19">
        <ns0:v>400</ns0:v>
      </ns0:c>
      <ns0:c r="G19">
        <ns0:v>12800</ns0:v>
      </ns0:c>
      <ns0:c r="H19">
        <ns0:f>E19*ROUNDUP(2048/$B$5,0)/$B$3</ns0:f>
        <ns0:v>8.343703703703703</ns0:v>
      </ns0:c>
      <ns0:c r="I19">
        <ns0:f>(G19*64/$B$9+F19*$B$8)/$B$3</ns0:f>
        <ns0:v>9.777777777777779</ns0:v>
      </ns0:c>
      <ns0:c r="J19">
        <ns0:v>2.3308592592592596</ns0:v>
      </ns0:c>
      <ns0:c r="K19">
        <ns0:v>9.80324074074074</ns0:v>
      </ns0:c>
      <ns0:c r="L19">
        <ns0:v>10.172585185185186</ns0:v>
      </ns0:c>
      <ns0:c r="M19">
        <ns0:f>(K19/L19-1)*100</ns0:f>
        <ns0:v>-3.6307825171357555</ns0:v>
      </ns0:c>
      <ns0:c r="N19">
        <ns0:f>K19</ns0:f>
        <ns0:v>9.80324074074074</ns0:v>
      </ns0:c>
      <ns0:c r="O19">
        <ns0:f>M19</ns0:f>
        <ns0:v>-3.6307825171357555</ns0:v>
      </ns0:c>
      <ns0:c r="P19" t="inlineStr">
        <ns0:is>
          <ns0:t>[0, 11, 1, 11]</ns0:t>
        </ns0:is>
      </ns0:c>
      <ns0:c r="Q19">
        <ns0:f>MAX(H19,I19)</ns0:f>
        <ns0:v>9.777777777777779</ns0:v>
      </ns0:c>
    </ns0:row>
    <ns0:row r="20">
      <ns0:c r="A20" t="inlineStr">
        <ns0:is>
          <ns0:t>aligned</ns0:t>
        </ns0:is>
      </ns0:c>
      <ns0:c r="B20">
        <ns0:v>110</ns0:v>
      </ns0:c>
      <ns0:c r="C20">
        <ns0:v>32</ns0:v>
      </ns0:c>
      <ns0:c r="D20">
        <ns0:v>8</ns0:v>
      </ns0:c>
      <ns0:c r="E20">
        <ns0:v>440</ns0:v>
      </ns0:c>
      <ns0:c r="F20">
        <ns0:v>760</ns0:v>
      </ns0:c>
      <ns0:c r="G20">
        <ns0:v>21760</ns0:v>
      </ns0:c>
      <ns0:c r="H20">
        <ns0:f>E20*ROUNDUP(2048/$B$5,0)/$B$3</ns0:f>
        <ns0:v>14.34074074074074</ns0:v>
      </ns0:c>
      <ns0:c r="I20">
        <ns0:f>(G20*64/$B$9+F20*$B$8)/$B$3</ns0:f>
        <ns0:v>16.68148148148148</ns0:v>
      </ns0:c>
      <ns0:c r="J20">
        <ns0:v>2.3308592592592596</ns0:v>
      </ns0:c>
      <ns0:c r="K20">
        <ns0:v>16.700833333333332</ns0:v>
      </ns0:c>
      <ns0:c r="L20">
        <ns0:v>17.231125925925923</ns0:v>
      </ns0:c>
      <ns0:c r="M20">
        <ns0:f>(K20/L20-1)*100</ns0:f>
        <ns0:v>-3.0775272310831103</ns0:v>
      </ns0:c>
      <ns0:c r="N20">
        <ns0:f>K20</ns0:f>
        <ns0:v>16.700833333333332</ns0:v>
      </ns0:c>
      <ns0:c r="O20">
        <ns0:f>M20</ns0:f>
        <ns0:v>-3.0775272310831103</ns0:v>
      </ns0:c>
      <ns0:c r="P20" t="inlineStr">
        <ns0:is>
          <ns0:t>[0, 11, 1, 11]</ns0:t>
        </ns0:is>
      </ns0:c>
      <ns0:c r="Q20">
        <ns0:f>MAX(H20,I20)</ns0:f>
        <ns0:v>16.68148148148148</ns0:v>
      </ns0:c>
    </ns0:row>
    <ns0:row r="21">
      <ns0:c r="A21" t="inlineStr">
        <ns0:is>
          <ns0:t>aligned</ns0:t>
        </ns0:is>
      </ns0:c>
      <ns0:c r="B21">
        <ns0:v>1</ns0:v>
      </ns0:c>
      <ns0:c r="C21">
        <ns0:v>128</ns0:v>
      </ns0:c>
      <ns0:c r="D21">
        <ns0:v>8</ns0:v>
      </ns0:c>
      <ns0:c r="E21">
        <ns0:v>16</ns0:v>
      </ns0:c>
      <ns0:c r="F21">
        <ns0:v>112</ns0:v>
      </ns0:c>
      <ns0:c r="G21">
        <ns0:v>3584</ns0:v>
      </ns0:c>
      <ns0:c r="H21">
        <ns0:f>E21*ROUNDUP(2048/$B$5,0)/$B$3</ns0:f>
        <ns0:v>0.5214814814814814</ns0:v>
      </ns0:c>
      <ns0:c r="I21">
        <ns0:f>(G21*64/$B$9+F21*$B$8)/$B$3</ns0:f>
        <ns0:v>2.7377777777777776</ns0:v>
      </ns0:c>
      <ns0:c r="J21">
        <ns0:v>9.355666666666666</ns0:v>
      </ns0:c>
      <ns0:c r="K21">
        <ns0:v>7.68</ns0:v>
      </ns0:c>
      <ns0:c r="L21">
        <ns0:v>9.355666666666666</ns0:v>
      </ns0:c>
      <ns0:c r="M21">
        <ns0:f>(K21/L21-1)*100</ns0:f>
        <ns0:v>-17.91071364948159</ns0:v>
      </ns0:c>
      <ns0:c r="N21">
        <ns0:f>K21</ns0:f>
        <ns0:v>7.68</ns0:v>
      </ns0:c>
      <ns0:c r="O21">
        <ns0:f>M21</ns0:f>
        <ns0:v>-17.91071364948159</ns0:v>
      </ns0:c>
      <ns0:c r="P21" t="inlineStr">
        <ns0:is>
          <ns0:t>[1, 11, 1, 0]</ns0:t>
        </ns0:is>
      </ns0:c>
      <ns0:c r="Q21">
        <ns0:f>MAX(H21,I21)</ns0:f>
        <ns0:v>2.7377777777777776</ns0:v>
      </ns0:c>
    </ns0:row>
    <ns0:row r="22">
      <ns0:c r="A22" t="inlineStr">
        <ns0:is>
          <ns0:t>aligned</ns0:t>
        </ns0:is>
      </ns0:c>
      <ns0:c r="B22">
        <ns0:v>8</ns0:v>
      </ns0:c>
      <ns0:c r="C22">
        <ns0:v>128</ns0:v>
      </ns0:c>
      <ns0:c r="D22">
        <ns0:v>8</ns0:v>
      </ns0:c>
      <ns0:c r="E22">
        <ns0:v>128</ns0:v>
      </ns0:c>
      <ns0:c r="F22">
        <ns0:v>224</ns0:v>
      </ns0:c>
      <ns0:c r="G22">
        <ns0:v>7168</ns0:v>
      </ns0:c>
      <ns0:c r="H22">
        <ns0:f>E22*ROUNDUP(2048/$B$5,0)/$B$3</ns0:f>
        <ns0:v>4.1718518518518515</ns0:v>
      </ns0:c>
      <ns0:c r="I22">
        <ns0:f>(G22*64/$B$9+F22*$B$8)/$B$3</ns0:f>
        <ns0:v>5.475555555555555</ns0:v>
      </ns0:c>
      <ns0:c r="J22">
        <ns0:v>9.355666666666666</ns0:v>
      </ns0:c>
      <ns0:c r="K22">
        <ns0:v>7.734814814814815</ns0:v>
      </ns0:c>
      <ns0:c r="L22">
        <ns0:v>9.554659259259259</ns0:v>
      </ns0:c>
      <ns0:c r="M22">
        <ns0:f>(K22/L22-1)*100</ns0:f>
        <ns0:v>-19.04667026907174</ns0:v>
      </ns0:c>
      <ns0:c r="N22">
        <ns0:f>K22</ns0:f>
        <ns0:v>7.734814814814815</ns0:v>
      </ns0:c>
      <ns0:c r="O22">
        <ns0:f>M22</ns0:f>
        <ns0:v>-19.04667026907174</ns0:v>
      </ns0:c>
      <ns0:c r="P22" t="inlineStr">
        <ns0:is>
          <ns0:t>[0, 11, 1, 11]</ns0:t>
        </ns0:is>
      </ns0:c>
      <ns0:c r="Q22">
        <ns0:f>MAX(H22,I22)</ns0:f>
        <ns0:v>5.475555555555555</ns0:v>
      </ns0:c>
    </ns0:row>
    <ns0:row r="23">
      <ns0:c r="A23" t="inlineStr">
        <ns0:is>
          <ns0:t>aligned</ns0:t>
        </ns0:is>
      </ns0:c>
      <ns0:c r="B23">
        <ns0:v>32</ns0:v>
      </ns0:c>
      <ns0:c r="C23">
        <ns0:v>128</ns0:v>
      </ns0:c>
      <ns0:c r="D23">
        <ns0:v>8</ns0:v>
      </ns0:c>
      <ns0:c r="E23">
        <ns0:v>512</ns0:v>
      </ns0:c>
      <ns0:c r="F23">
        <ns0:v>800</ns0:v>
      </ns0:c>
      <ns0:c r="G23">
        <ns0:v>25600</ns0:v>
      </ns0:c>
      <ns0:c r="H23">
        <ns0:f>E23*ROUNDUP(2048/$B$5,0)/$B$3</ns0:f>
        <ns0:v>16.687407407407406</ns0:v>
      </ns0:c>
      <ns0:c r="I23">
        <ns0:f>(G23*64/$B$9+F23*$B$8)/$B$3</ns0:f>
        <ns0:v>19.555555555555557</ns0:v>
      </ns0:c>
      <ns0:c r="J23">
        <ns0:v>9.355666666666666</ns0:v>
      </ns0:c>
      <ns0:c r="K23">
        <ns0:v>19.582685185185184</ns0:v>
      </ns0:c>
      <ns0:c r="L23">
        <ns0:v>20.47574814814815</ns0:v>
      </ns0:c>
      <ns0:c r="M23">
        <ns0:f>(K23/L23-1)*100</ns0:f>
        <ns0:v>-4.3615645030471555</ns0:v>
      </ns0:c>
      <ns0:c r="N23">
        <ns0:f>K23</ns0:f>
        <ns0:v>19.582685185185184</ns0:v>
      </ns0:c>
      <ns0:c r="O23">
        <ns0:f>M23</ns0:f>
        <ns0:v>-4.3615645030471555</ns0:v>
      </ns0:c>
      <ns0:c r="P23" t="inlineStr">
        <ns0:is>
          <ns0:t>[0, 11, 1, 11]</ns0:t>
        </ns0:is>
      </ns0:c>
      <ns0:c r="Q23">
        <ns0:f>MAX(H23,I23)</ns0:f>
        <ns0:v>19.555555555555557</ns0:v>
      </ns0:c>
    </ns0:row>
    <ns0:row r="24">
      <ns0:c r="A24" t="inlineStr">
        <ns0:is>
          <ns0:t>aligned</ns0:t>
        </ns0:is>
      </ns0:c>
      <ns0:c r="B24">
        <ns0:v>64</ns0:v>
      </ns0:c>
      <ns0:c r="C24">
        <ns0:v>128</ns0:v>
      </ns0:c>
      <ns0:c r="D24">
        <ns0:v>8</ns0:v>
      </ns0:c>
      <ns0:c r="E24">
        <ns0:v>1024</ns0:v>
      </ns0:c>
      <ns0:c r="F24">
        <ns0:v>1600</ns0:v>
      </ns0:c>
      <ns0:c r="G24">
        <ns0:v>51200</ns0:v>
      </ns0:c>
      <ns0:c r="H24">
        <ns0:f>E24*ROUNDUP(2048/$B$5,0)/$B$3</ns0:f>
        <ns0:v>33.37481481481481</ns0:v>
      </ns0:c>
      <ns0:c r="I24">
        <ns0:f>(G24*64/$B$9+F24*$B$8)/$B$3</ns0:f>
        <ns0:v>39.111111111111114</ns0:v>
      </ns0:c>
      <ns0:c r="J24">
        <ns0:v>9.355666666666666</ns0:v>
      </ns0:c>
      <ns0:c r="K24">
        <ns0:v>39.136574074074076</ns0:v>
      </ns0:c>
      <ns0:c r="L24">
        <ns0:v>40.6621037037037</ns0:v>
      </ns0:c>
      <ns0:c r="M24">
        <ns0:f>(K24/L24-1)*100</ns0:f>
        <ns0:v>-3.751723326333145</ns0:v>
      </ns0:c>
      <ns0:c r="N24">
        <ns0:f>K24</ns0:f>
        <ns0:v>39.136574074074076</ns0:v>
      </ns0:c>
      <ns0:c r="O24">
        <ns0:f>M24</ns0:f>
        <ns0:v>-3.751723326333145</ns0:v>
      </ns0:c>
      <ns0:c r="P24" t="inlineStr">
        <ns0:is>
          <ns0:t>[0, 11, 1, 11]</ns0:t>
        </ns0:is>
      </ns0:c>
      <ns0:c r="Q24">
        <ns0:f>MAX(H24,I24)</ns0:f>
        <ns0:v>39.111111111111114</ns0:v>
      </ns0:c>
    </ns0:row>
    <ns0:row r="25">
      <ns0:c r="A25" t="inlineStr">
        <ns0:is>
          <ns0:t>aligned</ns0:t>
        </ns0:is>
      </ns0:c>
      <ns0:c r="B25">
        <ns0:v>110</ns0:v>
      </ns0:c>
      <ns0:c r="C25">
        <ns0:v>128</ns0:v>
      </ns0:c>
      <ns0:c r="D25">
        <ns0:v>8</ns0:v>
      </ns0:c>
      <ns0:c r="E25">
        <ns0:v>1760</ns0:v>
      </ns0:c>
      <ns0:c r="F25">
        <ns0:v>3040</ns0:v>
      </ns0:c>
      <ns0:c r="G25">
        <ns0:v>87040</ns0:v>
      </ns0:c>
      <ns0:c r="H25">
        <ns0:f>E25*ROUNDUP(2048/$B$5,0)/$B$3</ns0:f>
        <ns0:v>57.36296296296296</ns0:v>
      </ns0:c>
      <ns0:c r="I25">
        <ns0:f>(G25*64/$B$9+F25*$B$8)/$B$3</ns0:f>
        <ns0:v>66.72592592592592</ns0:v>
      </ns0:c>
      <ns0:c r="J25">
        <ns0:v>9.355666666666666</ns0:v>
      </ns0:c>
      <ns0:c r="K25">
        <ns0:v>66.76222222222222</ns0:v>
      </ns0:c>
      <ns0:c r="L25">
        <ns0:v>68.98725925925928</ns0:v>
      </ns0:c>
      <ns0:c r="M25">
        <ns0:f>(K25/L25-1)*100</ns0:f>
        <ns0:v>-3.2252869021440644</ns0:v>
      </ns0:c>
      <ns0:c r="N25">
        <ns0:f>K25</ns0:f>
        <ns0:v>66.76222222222222</ns0:v>
      </ns0:c>
      <ns0:c r="O25">
        <ns0:f>M25</ns0:f>
        <ns0:v>-3.2252869021440644</ns0:v>
      </ns0:c>
      <ns0:c r="P25" t="inlineStr">
        <ns0:is>
          <ns0:t>[0, 11, 1, 11]</ns0:t>
        </ns0:is>
      </ns0:c>
      <ns0:c r="Q25">
        <ns0:f>MAX(H25,I25)</ns0:f>
        <ns0:v>66.72592592592592</ns0:v>
      </ns0:c>
    </ns0:row>
    <ns0:row r="26">
      <ns0:c r="A26" t="inlineStr">
        <ns0:is>
          <ns0:t>staggered</ns0:t>
        </ns0:is>
      </ns0:c>
      <ns0:c r="B26">
        <ns0:v>1</ns0:v>
      </ns0:c>
      <ns0:c r="C26">
        <ns0:v>32</ns0:v>
      </ns0:c>
      <ns0:c r="D26">
        <ns0:v>8</ns0:v>
      </ns0:c>
      <ns0:c r="E26">
        <ns0:v>4</ns0:v>
      </ns0:c>
      <ns0:c r="F26">
        <ns0:v>28</ns0:v>
      </ns0:c>
      <ns0:c r="G26">
        <ns0:v>896</ns0:v>
      </ns0:c>
      <ns0:c r="H26">
        <ns0:f>E26*ROUNDUP(2048/$B$5,0)/$B$3</ns0:f>
        <ns0:v>0.13037037037037036</ns0:v>
      </ns0:c>
      <ns0:c r="I26">
        <ns0:f>(G26*64/$B$9+F26*$B$8)/$B$3</ns0:f>
        <ns0:v>0.6844444444444444</ns0:v>
      </ns0:c>
      <ns0:c r="J26">
        <ns0:v>2.3236074074074073</ns0:v>
      </ns0:c>
      <ns0:c r="K26">
        <ns0:v>1.92</ns0:v>
      </ns0:c>
      <ns0:c r="L26">
        <ns0:v>2.3236074074074073</ns0:v>
      </ns0:c>
      <ns0:c r="M26">
        <ns0:f>(K26/L26-1)*100</ns0:f>
        <ns0:v>-17.369862314982775</ns0:v>
      </ns0:c>
      <ns0:c r="N26">
        <ns0:f>K26</ns0:f>
        <ns0:v>1.92</ns0:v>
      </ns0:c>
      <ns0:c r="O26">
        <ns0:f>M26</ns0:f>
        <ns0:v>-17.369862314982775</ns0:v>
      </ns0:c>
      <ns0:c r="P26" t="inlineStr">
        <ns0:is>
          <ns0:t>[1, 11, 1, 0]</ns0:t>
        </ns0:is>
      </ns0:c>
      <ns0:c r="Q26">
        <ns0:f>MAX(H26,I26)</ns0:f>
        <ns0:v>0.6844444444444444</ns0:v>
      </ns0:c>
    </ns0:row>
    <ns0:row r="27">
      <ns0:c r="A27" t="inlineStr">
        <ns0:is>
          <ns0:t>staggered</ns0:t>
        </ns0:is>
      </ns0:c>
      <ns0:c r="B27">
        <ns0:v>8</ns0:v>
      </ns0:c>
      <ns0:c r="C27">
        <ns0:v>32</ns0:v>
      </ns0:c>
      <ns0:c r="D27">
        <ns0:v>8</ns0:v>
      </ns0:c>
      <ns0:c r="E27">
        <ns0:v>32</ns0:v>
      </ns0:c>
      <ns0:c r="F27">
        <ns0:v>56</ns0:v>
      </ns0:c>
      <ns0:c r="G27">
        <ns0:v>1792</ns0:v>
      </ns0:c>
      <ns0:c r="H27">
        <ns0:f>E27*ROUNDUP(2048/$B$5,0)/$B$3</ns0:f>
        <ns0:v>1.0429629629629629</ns0:v>
      </ns0:c>
      <ns0:c r="I27">
        <ns0:f>(G27*64/$B$9+F27*$B$8)/$B$3</ns0:f>
        <ns0:v>1.3688888888888888</ns0:v>
      </ns0:c>
      <ns0:c r="J27">
        <ns0:v>2.3236074074074073</ns0:v>
      </ns0:c>
      <ns0:c r="K27">
        <ns0:v>1.9537962962962963</ns0:v>
      </ns0:c>
      <ns0:c r="L27">
        <ns0:v>2.4082</ns0:v>
      </ns0:c>
      <ns0:c r="M27">
        <ns0:f>(K27/L27-1)*100</ns0:f>
        <ns0:v>-18.869018507752834</ns0:v>
      </ns0:c>
      <ns0:c r="N27">
        <ns0:f>K27</ns0:f>
        <ns0:v>1.9537962962962963</ns0:v>
      </ns0:c>
      <ns0:c r="O27">
        <ns0:f>M27</ns0:f>
        <ns0:v>-18.869018507752834</ns0:v>
      </ns0:c>
      <ns0:c r="P27" t="inlineStr">
        <ns0:is>
          <ns0:t>[0, 11, 1, 11]</ns0:t>
        </ns0:is>
      </ns0:c>
      <ns0:c r="Q27">
        <ns0:f>MAX(H27,I27)</ns0:f>
        <ns0:v>1.3688888888888888</ns0:v>
      </ns0:c>
    </ns0:row>
    <ns0:row r="28">
      <ns0:c r="A28" t="inlineStr">
        <ns0:is>
          <ns0:t>staggered</ns0:t>
        </ns0:is>
      </ns0:c>
      <ns0:c r="B28">
        <ns0:v>32</ns0:v>
      </ns0:c>
      <ns0:c r="C28">
        <ns0:v>32</ns0:v>
      </ns0:c>
      <ns0:c r="D28">
        <ns0:v>8</ns0:v>
      </ns0:c>
      <ns0:c r="E28">
        <ns0:v>128</ns0:v>
      </ns0:c>
      <ns0:c r="F28">
        <ns0:v>200</ns0:v>
      </ns0:c>
      <ns0:c r="G28">
        <ns0:v>6400</ns0:v>
      </ns0:c>
      <ns0:c r="H28">
        <ns0:f>E28*ROUNDUP(2048/$B$5,0)/$B$3</ns0:f>
        <ns0:v>4.1718518518518515</ns0:v>
      </ns0:c>
      <ns0:c r="I28">
        <ns0:f>(G28*64/$B$9+F28*$B$8)/$B$3</ns0:f>
        <ns0:v>4.888888888888889</ns0:v>
      </ns0:c>
      <ns0:c r="J28">
        <ns0:v>2.3236074074074073</ns0:v>
      </ns0:c>
      <ns0:c r="K28">
        <ns0:v>4.916111111111111</ns0:v>
      </ns0:c>
      <ns0:c r="L28">
        <ns0:v>5.172407407407407</ns0:v>
      </ns0:c>
      <ns0:c r="M28">
        <ns0:f>(K28/L28-1)*100</ns0:f>
        <ns0:v>-4.955067845762762</ns0:v>
      </ns0:c>
      <ns0:c r="N28">
        <ns0:f>K28</ns0:f>
        <ns0:v>4.916111111111111</ns0:v>
      </ns0:c>
      <ns0:c r="O28">
        <ns0:f>M28</ns0:f>
        <ns0:v>-4.955067845762762</ns0:v>
      </ns0:c>
      <ns0:c r="P28" t="inlineStr">
        <ns0:is>
          <ns0:t>[0, 11, 1, 11]</ns0:t>
        </ns0:is>
      </ns0:c>
      <ns0:c r="Q28">
        <ns0:f>MAX(H28,I28)</ns0:f>
        <ns0:v>4.888888888888889</ns0:v>
      </ns0:c>
    </ns0:row>
    <ns0:row r="29">
      <ns0:c r="A29" t="inlineStr">
        <ns0:is>
          <ns0:t>staggered</ns0:t>
        </ns0:is>
      </ns0:c>
      <ns0:c r="B29">
        <ns0:v>64</ns0:v>
      </ns0:c>
      <ns0:c r="C29">
        <ns0:v>32</ns0:v>
      </ns0:c>
      <ns0:c r="D29">
        <ns0:v>8</ns0:v>
      </ns0:c>
      <ns0:c r="E29">
        <ns0:v>256</ns0:v>
      </ns0:c>
      <ns0:c r="F29">
        <ns0:v>400</ns0:v>
      </ns0:c>
      <ns0:c r="G29">
        <ns0:v>12800</ns0:v>
      </ns0:c>
      <ns0:c r="H29">
        <ns0:f>E29*ROUNDUP(2048/$B$5,0)/$B$3</ns0:f>
        <ns0:v>8.343703703703703</ns0:v>
      </ns0:c>
      <ns0:c r="I29">
        <ns0:f>(G29*64/$B$9+F29*$B$8)/$B$3</ns0:f>
        <ns0:v>9.777777777777779</ns0:v>
      </ns0:c>
      <ns0:c r="J29">
        <ns0:v>2.3236074074074073</ns0:v>
      </ns0:c>
      <ns0:c r="K29">
        <ns0:v>9.80425925925926</ns0:v>
      </ns0:c>
      <ns0:c r="L29">
        <ns0:v>10.19225925925926</ns0:v>
      </ns0:c>
      <ns0:c r="M29">
        <ns0:f>(K29/L29-1)*100</ns0:f>
        <ns0:v>-3.806810542495942</ns0:v>
      </ns0:c>
      <ns0:c r="N29">
        <ns0:f>K29</ns0:f>
        <ns0:v>9.80425925925926</ns0:v>
      </ns0:c>
      <ns0:c r="O29">
        <ns0:f>M29</ns0:f>
        <ns0:v>-3.806810542495942</ns0:v>
      </ns0:c>
      <ns0:c r="P29" t="inlineStr">
        <ns0:is>
          <ns0:t>[0, 11, 1, 11]</ns0:t>
        </ns0:is>
      </ns0:c>
      <ns0:c r="Q29">
        <ns0:f>MAX(H29,I29)</ns0:f>
        <ns0:v>9.777777777777779</ns0:v>
      </ns0:c>
    </ns0:row>
    <ns0:row r="30">
      <ns0:c r="A30" t="inlineStr">
        <ns0:is>
          <ns0:t>staggered</ns0:t>
        </ns0:is>
      </ns0:c>
      <ns0:c r="B30">
        <ns0:v>110</ns0:v>
      </ns0:c>
      <ns0:c r="C30">
        <ns0:v>32</ns0:v>
      </ns0:c>
      <ns0:c r="D30">
        <ns0:v>8</ns0:v>
      </ns0:c>
      <ns0:c r="E30">
        <ns0:v>440</ns0:v>
      </ns0:c>
      <ns0:c r="F30">
        <ns0:v>760</ns0:v>
      </ns0:c>
      <ns0:c r="G30">
        <ns0:v>21760</ns0:v>
      </ns0:c>
      <ns0:c r="H30">
        <ns0:f>E30*ROUNDUP(2048/$B$5,0)/$B$3</ns0:f>
        <ns0:v>14.34074074074074</ns0:v>
      </ns0:c>
      <ns0:c r="I30">
        <ns0:f>(G30*64/$B$9+F30*$B$8)/$B$3</ns0:f>
        <ns0:v>16.68148148148148</ns0:v>
      </ns0:c>
      <ns0:c r="J30">
        <ns0:v>2.3236074074074073</ns0:v>
      </ns0:c>
      <ns0:c r="K30">
        <ns0:v>16.700833333333332</ns0:v>
      </ns0:c>
      <ns0:c r="L30">
        <ns0:v>17.28951111111111</ns0:v>
      </ns0:c>
      <ns0:c r="M30">
        <ns0:f>(K30/L30-1)*100</ns0:f>
        <ns0:v>-3.404826047391618</ns0:v>
      </ns0:c>
      <ns0:c r="N30">
        <ns0:f>K30</ns0:f>
        <ns0:v>16.700833333333332</ns0:v>
      </ns0:c>
      <ns0:c r="O30">
        <ns0:f>M30</ns0:f>
        <ns0:v>-3.404826047391618</ns0:v>
      </ns0:c>
      <ns0:c r="P30" t="inlineStr">
        <ns0:is>
          <ns0:t>[0, 11, 1, 11]</ns0:t>
        </ns0:is>
      </ns0:c>
      <ns0:c r="Q30">
        <ns0:f>MAX(H30,I30)</ns0:f>
        <ns0:v>16.68148148148148</ns0:v>
      </ns0:c>
    </ns0:row>
    <ns0:row r="31">
      <ns0:c r="A31" t="inlineStr">
        <ns0:is>
          <ns0:t>staggered</ns0:t>
        </ns0:is>
      </ns0:c>
      <ns0:c r="B31">
        <ns0:v>1</ns0:v>
      </ns0:c>
      <ns0:c r="C31">
        <ns0:v>128</ns0:v>
      </ns0:c>
      <ns0:c r="D31">
        <ns0:v>8</ns0:v>
      </ns0:c>
      <ns0:c r="E31">
        <ns0:v>16</ns0:v>
      </ns0:c>
      <ns0:c r="F31">
        <ns0:v>112</ns0:v>
      </ns0:c>
      <ns0:c r="G31">
        <ns0:v>3584</ns0:v>
      </ns0:c>
      <ns0:c r="H31">
        <ns0:f>E31*ROUNDUP(2048/$B$5,0)/$B$3</ns0:f>
        <ns0:v>0.5214814814814814</ns0:v>
      </ns0:c>
      <ns0:c r="I31">
        <ns0:f>(G31*64/$B$9+F31*$B$8)/$B$3</ns0:f>
        <ns0:v>2.7377777777777776</ns0:v>
      </ns0:c>
      <ns0:c r="J31">
        <ns0:v>9.354881481481481</ns0:v>
      </ns0:c>
      <ns0:c r="K31">
        <ns0:v>7.68</ns0:v>
      </ns0:c>
      <ns0:c r="L31">
        <ns0:v>9.354881481481481</ns0:v>
      </ns0:c>
      <ns0:c r="M31">
        <ns0:f>(K31/L31-1)*100</ns0:f>
        <ns0:v>-17.903823632581606</ns0:v>
      </ns0:c>
      <ns0:c r="N31">
        <ns0:f>K31</ns0:f>
        <ns0:v>7.68</ns0:v>
      </ns0:c>
      <ns0:c r="O31">
        <ns0:f>M31</ns0:f>
        <ns0:v>-17.903823632581606</ns0:v>
      </ns0:c>
      <ns0:c r="P31" t="inlineStr">
        <ns0:is>
          <ns0:t>[1, 11, 1, 0]</ns0:t>
        </ns0:is>
      </ns0:c>
      <ns0:c r="Q31">
        <ns0:f>MAX(H31,I31)</ns0:f>
        <ns0:v>2.7377777777777776</ns0:v>
      </ns0:c>
    </ns0:row>
    <ns0:row r="32">
      <ns0:c r="A32" t="inlineStr">
        <ns0:is>
          <ns0:t>staggered</ns0:t>
        </ns0:is>
      </ns0:c>
      <ns0:c r="B32">
        <ns0:v>8</ns0:v>
      </ns0:c>
      <ns0:c r="C32">
        <ns0:v>128</ns0:v>
      </ns0:c>
      <ns0:c r="D32">
        <ns0:v>8</ns0:v>
      </ns0:c>
      <ns0:c r="E32">
        <ns0:v>128</ns0:v>
      </ns0:c>
      <ns0:c r="F32">
        <ns0:v>224</ns0:v>
      </ns0:c>
      <ns0:c r="G32">
        <ns0:v>7168</ns0:v>
      </ns0:c>
      <ns0:c r="H32">
        <ns0:f>E32*ROUNDUP(2048/$B$5,0)/$B$3</ns0:f>
        <ns0:v>4.1718518518518515</ns0:v>
      </ns0:c>
      <ns0:c r="I32">
        <ns0:f>(G32*64/$B$9+F32*$B$8)/$B$3</ns0:f>
        <ns0:v>5.475555555555555</ns0:v>
      </ns0:c>
      <ns0:c r="J32">
        <ns0:v>9.354881481481481</ns0:v>
      </ns0:c>
      <ns0:c r="K32">
        <ns0:v>7.735925925925926</ns0:v>
      </ns0:c>
      <ns0:c r="L32">
        <ns0:v>9.680074074074074</ns0:v>
      </ns0:c>
      <ns0:c r="M32">
        <ns0:f>(K32/L32-1)*100</ns0:f>
        <ns0:v>-20.08402139561222</ns0:v>
      </ns0:c>
      <ns0:c r="N32">
        <ns0:f>K32</ns0:f>
        <ns0:v>7.735925925925926</ns0:v>
      </ns0:c>
      <ns0:c r="O32">
        <ns0:f>M32</ns0:f>
        <ns0:v>-20.08402139561222</ns0:v>
      </ns0:c>
      <ns0:c r="P32" t="inlineStr">
        <ns0:is>
          <ns0:t>[0, 11, 1, 11]</ns0:t>
        </ns0:is>
      </ns0:c>
      <ns0:c r="Q32">
        <ns0:f>MAX(H32,I32)</ns0:f>
        <ns0:v>5.475555555555555</ns0:v>
      </ns0:c>
    </ns0:row>
    <ns0:row r="33">
      <ns0:c r="A33" t="inlineStr">
        <ns0:is>
          <ns0:t>staggered</ns0:t>
        </ns0:is>
      </ns0:c>
      <ns0:c r="B33">
        <ns0:v>32</ns0:v>
      </ns0:c>
      <ns0:c r="C33">
        <ns0:v>128</ns0:v>
      </ns0:c>
      <ns0:c r="D33">
        <ns0:v>8</ns0:v>
      </ns0:c>
      <ns0:c r="E33">
        <ns0:v>512</ns0:v>
      </ns0:c>
      <ns0:c r="F33">
        <ns0:v>800</ns0:v>
      </ns0:c>
      <ns0:c r="G33">
        <ns0:v>25600</ns0:v>
      </ns0:c>
      <ns0:c r="H33">
        <ns0:f>E33*ROUNDUP(2048/$B$5,0)/$B$3</ns0:f>
        <ns0:v>16.687407407407406</ns0:v>
      </ns0:c>
      <ns0:c r="I33">
        <ns0:f>(G33*64/$B$9+F33*$B$8)/$B$3</ns0:f>
        <ns0:v>19.555555555555557</ns0:v>
      </ns0:c>
      <ns0:c r="J33">
        <ns0:v>9.354881481481481</ns0:v>
      </ns0:c>
      <ns0:c r="K33">
        <ns0:v>19.58277777777778</ns0:v>
      </ns0:c>
      <ns0:c r="L33">
        <ns0:v>20.724140740740744</ns0:v>
      </ns0:c>
      <ns0:c r="M33">
        <ns0:f>(K33/L33-1)*100</ns0:f>
        <ns0:v>-5.507407893245997</ns0:v>
      </ns0:c>
      <ns0:c r="N33">
        <ns0:f>K33</ns0:f>
        <ns0:v>19.58277777777778</ns0:v>
      </ns0:c>
      <ns0:c r="O33">
        <ns0:f>M33</ns0:f>
        <ns0:v>-5.507407893245997</ns0:v>
      </ns0:c>
      <ns0:c r="P33" t="inlineStr">
        <ns0:is>
          <ns0:t>[0, 11, 1, 11]</ns0:t>
        </ns0:is>
      </ns0:c>
      <ns0:c r="Q33">
        <ns0:f>MAX(H33,I33)</ns0:f>
        <ns0:v>19.555555555555557</ns0:v>
      </ns0:c>
    </ns0:row>
    <ns0:row r="34">
      <ns0:c r="A34" t="inlineStr">
        <ns0:is>
          <ns0:t>staggered</ns0:t>
        </ns0:is>
      </ns0:c>
      <ns0:c r="B34">
        <ns0:v>64</ns0:v>
      </ns0:c>
      <ns0:c r="C34">
        <ns0:v>128</ns0:v>
      </ns0:c>
      <ns0:c r="D34">
        <ns0:v>8</ns0:v>
      </ns0:c>
      <ns0:c r="E34">
        <ns0:v>1024</ns0:v>
      </ns0:c>
      <ns0:c r="F34">
        <ns0:v>1600</ns0:v>
      </ns0:c>
      <ns0:c r="G34">
        <ns0:v>51200</ns0:v>
      </ns0:c>
      <ns0:c r="H34">
        <ns0:f>E34*ROUNDUP(2048/$B$5,0)/$B$3</ns0:f>
        <ns0:v>33.37481481481481</ns0:v>
      </ns0:c>
      <ns0:c r="I34">
        <ns0:f>(G34*64/$B$9+F34*$B$8)/$B$3</ns0:f>
        <ns0:v>39.111111111111114</ns0:v>
      </ns0:c>
      <ns0:c r="J34">
        <ns0:v>9.354881481481481</ns0:v>
      </ns0:c>
      <ns0:c r="K34">
        <ns0:v>39.13759259259259</ns0:v>
      </ns0:c>
      <ns0:c r="L34">
        <ns0:v>40.80813333333333</ns0:v>
      </ns0:c>
      <ns0:c r="M34">
        <ns0:f>(K34/L34-1)*100</ns0:f>
        <ns0:v>-4.093646546131513</ns0:v>
      </ns0:c>
      <ns0:c r="N34">
        <ns0:f>K34</ns0:f>
        <ns0:v>39.13759259259259</ns0:v>
      </ns0:c>
      <ns0:c r="O34">
        <ns0:f>M34</ns0:f>
        <ns0:v>-4.093646546131513</ns0:v>
      </ns0:c>
      <ns0:c r="P34" t="inlineStr">
        <ns0:is>
          <ns0:t>[0, 11, 1, 11]</ns0:t>
        </ns0:is>
      </ns0:c>
      <ns0:c r="Q34">
        <ns0:f>MAX(H34,I34)</ns0:f>
        <ns0:v>39.111111111111114</ns0:v>
      </ns0:c>
    </ns0:row>
    <ns0:row r="35">
      <ns0:c r="A35" t="inlineStr">
        <ns0:is>
          <ns0:t>staggered</ns0:t>
        </ns0:is>
      </ns0:c>
      <ns0:c r="B35">
        <ns0:v>110</ns0:v>
      </ns0:c>
      <ns0:c r="C35">
        <ns0:v>128</ns0:v>
      </ns0:c>
      <ns0:c r="D35">
        <ns0:v>8</ns0:v>
      </ns0:c>
      <ns0:c r="E35">
        <ns0:v>1760</ns0:v>
      </ns0:c>
      <ns0:c r="F35">
        <ns0:v>3040</ns0:v>
      </ns0:c>
      <ns0:c r="G35">
        <ns0:v>87040</ns0:v>
      </ns0:c>
      <ns0:c r="H35">
        <ns0:f>E35*ROUNDUP(2048/$B$5,0)/$B$3</ns0:f>
        <ns0:v>57.36296296296296</ns0:v>
      </ns0:c>
      <ns0:c r="I35">
        <ns0:f>(G35*64/$B$9+F35*$B$8)/$B$3</ns0:f>
        <ns0:v>66.72592592592592</ns0:v>
      </ns0:c>
      <ns0:c r="J35">
        <ns0:v>9.354881481481481</ns0:v>
      </ns0:c>
      <ns0:c r="K35">
        <ns0:v>66.78055555555555</ns0:v>
      </ns0:c>
      <ns0:c r="L35">
        <ns0:v>69.16041481481481</ns0:v>
      </ns0:c>
      <ns0:c r="M35">
        <ns0:f>(K35/L35-1)*100</ns0:f>
        <ns0:v>-3.4410714071504866</ns0:v>
      </ns0:c>
      <ns0:c r="N35">
        <ns0:f>K35</ns0:f>
        <ns0:v>66.78055555555555</ns0:v>
      </ns0:c>
      <ns0:c r="O35">
        <ns0:f>M35</ns0:f>
        <ns0:v>-3.4410714071504866</ns0:v>
      </ns0:c>
      <ns0:c r="P35" t="inlineStr">
        <ns0:is>
          <ns0:t>[0, 11, 1, 11]</ns0:t>
        </ns0:is>
      </ns0:c>
      <ns0:c r="Q35">
        <ns0:f>MAX(H35,I35)</ns0:f>
        <ns0:v>66.72592592592592</ns0:v>
      </ns0:c>
    </ns0:row>
    <ns0:row r="38">
      <ns0:c r="A38" t="inlineStr">
        <ns0:is>
          <ns0:t>Interpretation</ns0:t>
        </ns0:is>
      </ns0:c>
      <ns0:c r="B38" t="inlineStr">
        <ns0:is>
          <ns0:t>At 110 cores /128 pages, bank capacity bound 57.363 us; link bound 66.726 us; raw replay 66.762 us; measured 68.987 us.</ns0:t>
        </ns0:is>
      </ns0:c>
    </ns0:row>
    <ns0:row r="39">
      <ns0:c r="A39" t="inlineStr">
        <ns0:is>
          <ns0:t>Hot link</ns0:t>
        </ns0:is>
      </ns0:c>
      <ns0:c r="B39" t="inlineStr">
        <ns0:is>
          <ns0:t>Physical NoC0 (0,11)-&gt;(1,11). Packet counts include requests and responses.</ns0:t>
        </ns0:is>
      </ns0:c>
    </ns0:row>
    <ns0:row r="40">
      <ns0:c r="A40" t="inlineStr">
        <ns0:is>
          <ns0:t>Read latency vs occupancy</ns0:t>
        </ns0:is>
      </ns0:c>
      <ns0:c r="B40" t="inlineStr">
        <ns0:is>
          <ns0:t>126 cycles is pipeline latency, not exclusive bank occupancy per read. Bank occupancy=ceil(bytes/47.0805).</ns0:t>
        </ns0:is>
      </ns0:c>
    </ns0:row>
    <ns0:row r="41">
      <ns0:c r="A41" t="inlineStr">
        <ns0:is>
          <ns0:t>No double-counting</ns0:t>
        </ns0:is>
      </ns0:c>
      <ns0:c r="B41" t="inlineStr">
        <ns0:is>
          <ns0:t>Add DRAM excess max(0,ceil(bytes/47.0805)-response_flits) to response release; NoC serialization is already charged.</ns0:t>
        </ns0:is>
      </ns0:c>
    </ns0:row>
    <ns0:row r="42">
      <ns0:c r="A42" t="inlineStr">
        <ns0:is>
          <ns0:t>Source code</ns0:t>
        </ns0:is>
      </ns0:c>
      <ns0:c r="B42" t="inlineStr">
        <ns0:is>
          <ns0:t>ttnn/ttnn/operations/examples/dram_read_contention/queue_model.py; topology and measured comparisons stored alongside.</ns0:t>
        </ns0:is>
      </ns0:c>
    </ns0:row>
  </ns0:sheetData>
</ns0:worksheet>
</file>

<file path=xl/worksheets/sheet8.xml><?xml version="1.0" encoding="utf-8"?>
<worksheet xmlns="http://schemas.openxmlformats.org/spreadsheetml/2006/main">
  <sheetViews>
    <sheetView workbookViewId="0"/>
  </sheetViews>
  <cols>
    <col min="1" max="7" width="25" customWidth="1"/>
  </cols>
  <sheetData>
    <row r="1">
      <c r="A1" t="inlineStr">
        <is>
          <t>BH low-core investigation; 2026-10-20</t>
        </is>
      </c>
    </row>
    <row r="2">
      <c r="A2" t="inlineStr">
        <is>
          <t>Scope</t>
        </is>
      </c>
      <c r="B2" t="inlineStr">
        <is>
          <t>Aligned reads; diagnostic clocks separate from uninstrumented measurements; 14 diagnostic +12 held-out correctness cases passed.</t>
        </is>
      </c>
    </row>
    <row r="3">
      <c r="A3" t="inlineStr">
        <is>
          <t>Issue interval cycles</t>
        </is>
      </c>
      <c r="B3">
        <v>35</v>
      </c>
    </row>
    <row r="4">
      <c r="A4" t="inlineStr">
        <is>
          <t>Effective batch residual cycles</t>
        </is>
      </c>
      <c r="B4">
        <v>94.4962499999999</v>
      </c>
    </row>
    <row r="5">
      <c r="A5" t="inlineStr">
        <is>
          <t>Calibration</t>
        </is>
      </c>
      <c r="B5" t="inlineStr">
        <is>
          <t>Only one-core /128 pages /batch-eight time fitted; issue cadence from diagnostic kernel. Not universal hardware constants.</t>
        </is>
      </c>
    </row>
    <row r="6">
      <c r="A6" t="inlineStr">
        <is>
          <t>Snapshots</t>
        </is>
      </c>
      <c r="B6" t="inlineStr">
        <is>
          <t>Replay columns below require Python rerun if parameters change. Excel error columns recalculate.</t>
        </is>
      </c>
    </row>
    <row r="7">
      <c r="A7" t="inlineStr">
        <is>
          <t>Caveat</t>
        </is>
      </c>
      <c r="B7" t="inlineStr">
        <is>
          <t>All six held-out batch-eight cases &lt;1.75% error; batch16 eight-core/64-page case +7.68%; other batch sizes still miss.</t>
        </is>
      </c>
    </row>
    <row r="9">
      <c r="A9" t="inlineStr">
        <is>
          <t>Batch</t>
        </is>
      </c>
      <c r="B9" t="inlineStr">
        <is>
          <t>Cores</t>
        </is>
      </c>
      <c r="C9" t="inlineStr">
        <is>
          <t>KiB/core</t>
        </is>
      </c>
      <c r="D9" t="inlineStr">
        <is>
          <t>Ideal issue us</t>
        </is>
      </c>
      <c r="E9" t="inlineStr">
        <is>
          <t>Calibrated us</t>
        </is>
      </c>
      <c r="F9" t="inlineStr">
        <is>
          <t>Measured us</t>
        </is>
      </c>
      <c r="G9" t="inlineStr">
        <is>
          <t>Error %</t>
        </is>
      </c>
    </row>
    <row r="10">
      <c r="A10">
        <v>16</v>
      </c>
      <c r="B10">
        <v>1</v>
      </c>
      <c r="C10">
        <v>128</v>
      </c>
      <c r="D10">
        <v>2.6044444444444443</v>
      </c>
      <c r="E10">
        <v>3.1688777777777783</v>
      </c>
      <c r="F10">
        <v>3.1719925925925927</v>
      </c>
      <c r="G10">
        <f>(E10/F10-1)*100</f>
        <v>-0.09819741767645995</v>
      </c>
    </row>
    <row r="11">
      <c r="A11">
        <v>16</v>
      </c>
      <c r="B11">
        <v>4</v>
      </c>
      <c r="C11">
        <v>128</v>
      </c>
      <c r="D11">
        <v>2.638611111111111</v>
      </c>
      <c r="E11">
        <v>3.2359148148148145</v>
      </c>
      <c r="F11">
        <v>3.162333333333333</v>
      </c>
      <c r="G11">
        <f>(E11/F11-1)*100</f>
        <v>2.326809786491446</v>
      </c>
    </row>
    <row r="12">
      <c r="A12">
        <v>16</v>
      </c>
      <c r="B12">
        <v>8</v>
      </c>
      <c r="C12">
        <v>128</v>
      </c>
      <c r="D12">
        <v>2.7755555555555556</v>
      </c>
      <c r="E12">
        <v>3.487951851851851</v>
      </c>
      <c r="F12">
        <v>3.239288888888889</v>
      </c>
      <c r="G12">
        <f>(E12/F12-1)*100</f>
        <v>7.676467628926309</v>
      </c>
    </row>
    <row r="13">
      <c r="A13">
        <v>16</v>
      </c>
      <c r="B13">
        <v>1</v>
      </c>
      <c r="C13">
        <v>512</v>
      </c>
      <c r="D13">
        <v>10.417777777777777</v>
      </c>
      <c r="E13">
        <v>12.67551111111108</v>
      </c>
      <c r="F13">
        <v>12.80282962962963</v>
      </c>
      <c r="G13">
        <f>(E13/F13-1)*100</f>
        <v>-0.9944560866755325</v>
      </c>
    </row>
    <row r="14">
      <c r="A14">
        <v>16</v>
      </c>
      <c r="B14">
        <v>4</v>
      </c>
      <c r="C14">
        <v>512</v>
      </c>
      <c r="D14">
        <v>10.451944444444445</v>
      </c>
      <c r="E14">
        <v>12.920325925925896</v>
      </c>
      <c r="F14">
        <v>12.838607407407405</v>
      </c>
      <c r="G14">
        <f>(E14/F14-1)*100</f>
        <v>0.6365060938879008</v>
      </c>
    </row>
    <row r="15">
      <c r="A15">
        <v>16</v>
      </c>
      <c r="B15">
        <v>8</v>
      </c>
      <c r="C15">
        <v>512</v>
      </c>
      <c r="D15">
        <v>10.987962962962962</v>
      </c>
      <c r="E15">
        <v>13.776807407407373</v>
      </c>
      <c r="F15">
        <v>13.492533333333332</v>
      </c>
      <c r="G15">
        <f>(E15/F15-1)*100</f>
        <v>2.106899179353827</v>
      </c>
    </row>
    <row r="16">
      <c r="A16">
        <v>8</v>
      </c>
      <c r="B16">
        <v>1</v>
      </c>
      <c r="C16">
        <v>128</v>
      </c>
      <c r="D16">
        <v>3.84</v>
      </c>
      <c r="E16">
        <v>4.678496296296289</v>
      </c>
      <c r="F16">
        <v>4.6918592592592585</v>
      </c>
      <c r="G16">
        <f>(E16/F16-1)*100</f>
        <v>-0.28481167538429997</v>
      </c>
    </row>
    <row r="17">
      <c r="A17">
        <v>8</v>
      </c>
      <c r="B17">
        <v>4</v>
      </c>
      <c r="C17">
        <v>128</v>
      </c>
      <c r="D17">
        <v>3.8558333333333334</v>
      </c>
      <c r="E17">
        <v>4.799051851851845</v>
      </c>
      <c r="F17">
        <v>4.743600000000001</v>
      </c>
      <c r="G17">
        <f>(E17/F17-1)*100</f>
        <v>1.168982457455181</v>
      </c>
    </row>
    <row r="18">
      <c r="A18">
        <v>8</v>
      </c>
      <c r="B18">
        <v>8</v>
      </c>
      <c r="C18">
        <v>128</v>
      </c>
      <c r="D18">
        <v>3.882962962962963</v>
      </c>
      <c r="E18">
        <v>4.8511355324074</v>
      </c>
      <c r="F18">
        <v>4.767977777777777</v>
      </c>
      <c r="G18">
        <f>(E18/F18-1)*100</f>
        <v>1.7440885529542038</v>
      </c>
    </row>
    <row r="19">
      <c r="A19">
        <v>8</v>
      </c>
      <c r="B19">
        <v>1</v>
      </c>
      <c r="C19">
        <v>512</v>
      </c>
      <c r="D19">
        <v>15.36</v>
      </c>
      <c r="E19">
        <v>18.713985185185116</v>
      </c>
      <c r="F19">
        <v>18.745888888888892</v>
      </c>
      <c r="G19">
        <f>(E19/F19-1)*100</f>
        <v>-0.1701904022416656</v>
      </c>
    </row>
    <row r="20">
      <c r="A20">
        <v>8</v>
      </c>
      <c r="B20">
        <v>4</v>
      </c>
      <c r="C20">
        <v>512</v>
      </c>
      <c r="D20">
        <v>15.375833333333333</v>
      </c>
      <c r="E20">
        <v>19.17231851851845</v>
      </c>
      <c r="F20">
        <v>18.87928148148148</v>
      </c>
      <c r="G20">
        <f>(E20/F20-1)*100</f>
        <v>1.5521620212316067</v>
      </c>
    </row>
    <row r="21">
      <c r="A21">
        <v>8</v>
      </c>
      <c r="B21">
        <v>8</v>
      </c>
      <c r="C21">
        <v>512</v>
      </c>
      <c r="D21">
        <v>15.438518518518519</v>
      </c>
      <c r="E21">
        <v>19.277735532407338</v>
      </c>
      <c r="F21">
        <v>19.140237037037036</v>
      </c>
      <c r="G21">
        <f>(E21/F21-1)*100</f>
        <v>0.7183740468011734</v>
      </c>
    </row>
    <row r="24">
      <c r="A24" t="inlineStr">
        <is>
          <t>Diagnostic facts</t>
        </is>
      </c>
      <c r="B24" t="inlineStr">
        <is>
          <t>Large-batch issue ~35 cycles/read; empty barrier16cycles; clock pair1cycle. Populated-barrier time includes outstanding DRAM/NoC waits.</t>
        </is>
      </c>
    </row>
    <row r="25">
      <c r="A25" t="inlineStr">
        <is>
          <t>Instrumentation</t>
        </is>
      </c>
      <c r="B25" t="inlineStr">
        <is>
          <t>Instrumented total can change by ~11%; use baseline for prediction comparisons.</t>
        </is>
      </c>
    </row>
    <row r="26">
      <c r="A26" t="inlineStr">
        <is>
          <t>Full grid</t>
        </is>
      </c>
      <c r="B26" t="inlineStr">
        <is>
          <t>110 cores /128 pages /batch8: calibrated66.891us vs68.987us measured, -3.04%; link bottleneck remains.</t>
        </is>
      </c>
    </row>
    <row r="27">
      <c r="A27" t="inlineStr">
        <is>
          <t>Source</t>
        </is>
      </c>
      <c r="B27" t="inlineStr">
        <is>
          <t>ttnn/ttnn/operations/examples/dram_read_contention/low_core_report.md</t>
        </is>
      </c>
    </row>
  </sheetData>
</worksheet>
</file>